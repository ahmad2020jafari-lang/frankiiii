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cg\Downloads\"/>
    </mc:Choice>
  </mc:AlternateContent>
  <xr:revisionPtr revIDLastSave="0" documentId="13_ncr:1_{E411D52D-2763-4E85-AA65-824F8DAD76E9}" xr6:coauthVersionLast="47" xr6:coauthVersionMax="47" xr10:uidLastSave="{00000000-0000-0000-0000-000000000000}"/>
  <bookViews>
    <workbookView xWindow="-38520" yWindow="-120" windowWidth="38640" windowHeight="15720" xr2:uid="{00000000-000D-0000-FFFF-FFFF00000000}"/>
  </bookViews>
  <sheets>
    <sheet name="Tabelle1" sheetId="1" r:id="rId1"/>
    <sheet name="Tabelle2" sheetId="2" r:id="rId2"/>
    <sheet name="Tabelle3" sheetId="3" r:id="rId3"/>
  </sheets>
  <definedNames>
    <definedName name="A_r_b_e_i_t_s_______P_l_a_n_u_n_g">Tabelle1!$B$1:$W$131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120" i="1" l="1"/>
  <c r="AF121" i="1"/>
  <c r="X5" i="1"/>
  <c r="X4" i="1"/>
  <c r="D123" i="1"/>
  <c r="E122" i="1"/>
  <c r="D121" i="1"/>
  <c r="F4" i="1"/>
  <c r="J5" i="1"/>
  <c r="J4" i="1"/>
  <c r="E119" i="1"/>
  <c r="D118" i="1"/>
  <c r="E117" i="1"/>
  <c r="D116" i="1"/>
  <c r="E113" i="1"/>
  <c r="D112" i="1"/>
  <c r="E111" i="1"/>
  <c r="D110" i="1"/>
  <c r="E89" i="1"/>
  <c r="D88" i="1"/>
  <c r="E87" i="1"/>
  <c r="D86" i="1"/>
  <c r="E85" i="1"/>
  <c r="D84" i="1"/>
  <c r="E61" i="1"/>
  <c r="D60" i="1"/>
  <c r="E59" i="1"/>
  <c r="D58" i="1"/>
  <c r="E35" i="1"/>
  <c r="D34" i="1"/>
  <c r="E33" i="1"/>
  <c r="D32" i="1"/>
  <c r="D30" i="1"/>
  <c r="D10" i="1"/>
  <c r="E103" i="1"/>
  <c r="D102" i="1"/>
  <c r="E79" i="1"/>
  <c r="D78" i="1"/>
  <c r="E57" i="1"/>
  <c r="D56" i="1"/>
  <c r="E55" i="1"/>
  <c r="D54" i="1"/>
  <c r="E53" i="1"/>
  <c r="D52" i="1"/>
  <c r="E31" i="1"/>
  <c r="E29" i="1"/>
  <c r="D28" i="1"/>
  <c r="E27" i="1"/>
  <c r="D26" i="1"/>
  <c r="E25" i="1"/>
  <c r="D24" i="1"/>
  <c r="E23" i="1"/>
  <c r="D22" i="1"/>
  <c r="E21" i="1"/>
  <c r="D20" i="1"/>
  <c r="D18" i="1"/>
  <c r="D50" i="1"/>
  <c r="E51" i="1"/>
  <c r="X7" i="1" l="1"/>
  <c r="D40" i="1"/>
  <c r="E41" i="1"/>
  <c r="D70" i="1"/>
  <c r="E71" i="1"/>
  <c r="D12" i="1" l="1"/>
  <c r="D14" i="1"/>
  <c r="D16" i="1"/>
  <c r="D36" i="1"/>
  <c r="D42" i="1"/>
  <c r="D44" i="1"/>
  <c r="D46" i="1"/>
  <c r="D48" i="1"/>
  <c r="D62" i="1"/>
  <c r="D66" i="1"/>
  <c r="D68" i="1"/>
  <c r="D72" i="1"/>
  <c r="D74" i="1"/>
  <c r="D76" i="1"/>
  <c r="D80" i="1"/>
  <c r="D82" i="1"/>
  <c r="D92" i="1"/>
  <c r="D94" i="1"/>
  <c r="D96" i="1"/>
  <c r="D98" i="1"/>
  <c r="D100" i="1"/>
  <c r="D104" i="1"/>
  <c r="D106" i="1"/>
  <c r="D108" i="1"/>
  <c r="R4" i="1" l="1"/>
  <c r="N4" i="1"/>
  <c r="E109" i="1" l="1"/>
  <c r="E107" i="1"/>
  <c r="E105" i="1"/>
  <c r="E101" i="1"/>
  <c r="E99" i="1"/>
  <c r="E97" i="1"/>
  <c r="E95" i="1"/>
  <c r="E93" i="1"/>
  <c r="E77" i="1"/>
  <c r="E81" i="1"/>
  <c r="E75" i="1"/>
  <c r="E73" i="1"/>
  <c r="E67" i="1"/>
  <c r="E63" i="1"/>
  <c r="E49" i="1"/>
  <c r="E47" i="1"/>
  <c r="E45" i="1"/>
  <c r="E43" i="1"/>
  <c r="E13" i="1"/>
  <c r="E15" i="1"/>
  <c r="E17" i="1"/>
  <c r="E19" i="1"/>
  <c r="E37" i="1"/>
  <c r="E11" i="1"/>
  <c r="F5" i="1" l="1"/>
  <c r="R5" i="1"/>
  <c r="R7" i="1"/>
  <c r="J7" i="1"/>
  <c r="F7" i="1"/>
  <c r="E83" i="1"/>
  <c r="E69" i="1"/>
  <c r="N5" i="1" s="1"/>
  <c r="E123" i="1" l="1"/>
  <c r="N7" i="1"/>
  <c r="AE123" i="1"/>
  <c r="AC126" i="1" s="1"/>
</calcChain>
</file>

<file path=xl/sharedStrings.xml><?xml version="1.0" encoding="utf-8"?>
<sst xmlns="http://schemas.openxmlformats.org/spreadsheetml/2006/main" count="85" uniqueCount="69">
  <si>
    <t>A r b e i t s   -   P l a n u n g     Modul306A PlanWerk Tic-Tac-Toe</t>
  </si>
  <si>
    <t>Tag 1</t>
  </si>
  <si>
    <t>Tag 2</t>
  </si>
  <si>
    <t>Tag 3</t>
  </si>
  <si>
    <t>Tag 4</t>
  </si>
  <si>
    <t>Tages - SOLL</t>
  </si>
  <si>
    <t>Tages  -  IST</t>
  </si>
  <si>
    <t>Tages-Soll-Differenz</t>
  </si>
  <si>
    <t>Projektphasen  - Projektschritte</t>
  </si>
  <si>
    <t>Stunden</t>
  </si>
  <si>
    <t>Soll</t>
  </si>
  <si>
    <t>IST</t>
  </si>
  <si>
    <t>Initialisierung</t>
  </si>
  <si>
    <t>Projektidee / Projektauftrag erstellen</t>
  </si>
  <si>
    <t>Projektübersicht erstellen</t>
  </si>
  <si>
    <t>Ausgangslage erfassen</t>
  </si>
  <si>
    <t>Situationsanalyse erstellen</t>
  </si>
  <si>
    <t>System- und Projektziele definieren</t>
  </si>
  <si>
    <t>Abnahmekriterien festlegen</t>
  </si>
  <si>
    <t>Lösungsbeschreibung / Strategie festhalten</t>
  </si>
  <si>
    <t>Projektentscheide</t>
  </si>
  <si>
    <t>Protokoll</t>
  </si>
  <si>
    <t>Checkliste</t>
  </si>
  <si>
    <t xml:space="preserve">Finallisierung </t>
  </si>
  <si>
    <t>Rollen und Grobplanung festlegen</t>
  </si>
  <si>
    <t>Konzept</t>
  </si>
  <si>
    <t>Systemanforderungen</t>
  </si>
  <si>
    <t>Systemarchitektur</t>
  </si>
  <si>
    <t>Detailstudie</t>
  </si>
  <si>
    <t>Betriebskonzept</t>
  </si>
  <si>
    <t>Einfuerungskonzept</t>
  </si>
  <si>
    <t>Testkonzept</t>
  </si>
  <si>
    <t>Migrationskonzept</t>
  </si>
  <si>
    <t>Projrktentscheid</t>
  </si>
  <si>
    <t>Checklisten + Abgabe</t>
  </si>
  <si>
    <t>Realisierung</t>
  </si>
  <si>
    <t>Arbeitsauftrag</t>
  </si>
  <si>
    <t>Arbeitspacket</t>
  </si>
  <si>
    <t>Prototypdokumentation</t>
  </si>
  <si>
    <t>Betriebshandbuch</t>
  </si>
  <si>
    <t>Testprotokoll</t>
  </si>
  <si>
    <t>Prüfprotokoll</t>
  </si>
  <si>
    <t>Checklisten</t>
  </si>
  <si>
    <t xml:space="preserve">Projektentscheide </t>
  </si>
  <si>
    <t>Einführung</t>
  </si>
  <si>
    <t>Abnahmeprotokoll</t>
  </si>
  <si>
    <t>Projektabschlussbericht</t>
  </si>
  <si>
    <t>Projektschlussbeurteilung</t>
  </si>
  <si>
    <t>Projekterfahrungen</t>
  </si>
  <si>
    <t>Projektpresentation erstellen</t>
  </si>
  <si>
    <t>Projektabgabe</t>
  </si>
  <si>
    <t>Reserven</t>
  </si>
  <si>
    <t>Projekt : Total Soll</t>
  </si>
  <si>
    <t>h</t>
  </si>
  <si>
    <t>eingeplante Reserven</t>
  </si>
  <si>
    <t>Projekt : Total Ist</t>
  </si>
  <si>
    <t>Totale Arbeitszeit</t>
  </si>
  <si>
    <t>Abweichung</t>
  </si>
  <si>
    <t xml:space="preserve">Projektphasen </t>
  </si>
  <si>
    <t xml:space="preserve">Meilensteine  = </t>
  </si>
  <si>
    <t>Presetation</t>
  </si>
  <si>
    <t>Präsetation</t>
  </si>
  <si>
    <t>Vorbereitung</t>
  </si>
  <si>
    <t>Vorführung</t>
  </si>
  <si>
    <t>Tag 5</t>
  </si>
  <si>
    <t>Expertenbesuch</t>
  </si>
  <si>
    <t>Sitzungsprotokoll</t>
  </si>
  <si>
    <t>Espertenbesuch</t>
  </si>
  <si>
    <t>Vorführung des Produktes beim Kunden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</si>
</sst>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6" x14ac:knownFonts="1">
    <font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i/>
      <sz val="12"/>
      <color theme="1"/>
      <name val="Arial"/>
      <family val="2"/>
    </font>
    <font>
      <b/>
      <i/>
      <sz val="12"/>
      <color theme="0"/>
      <name val="Arial"/>
      <family val="2"/>
    </font>
    <font>
      <b/>
      <i/>
      <sz val="12"/>
      <color theme="1"/>
      <name val="Arial"/>
      <family val="2"/>
    </font>
    <font>
      <b/>
      <sz val="12"/>
      <color theme="0"/>
      <name val="Arial"/>
      <family val="2"/>
    </font>
    <font>
      <b/>
      <sz val="14"/>
      <color theme="1"/>
      <name val="Arial"/>
      <family val="2"/>
    </font>
    <font>
      <sz val="12"/>
      <color theme="0"/>
      <name val="Arial"/>
      <family val="2"/>
    </font>
    <font>
      <sz val="14"/>
      <name val="Arial"/>
      <family val="2"/>
    </font>
    <font>
      <b/>
      <sz val="12"/>
      <name val="Arial"/>
      <family val="2"/>
    </font>
    <font>
      <sz val="14"/>
      <color theme="1"/>
      <name val="Arial"/>
      <family val="2"/>
    </font>
    <font>
      <b/>
      <sz val="14"/>
      <color theme="0"/>
      <name val="Arial"/>
      <family val="2"/>
    </font>
    <font>
      <sz val="14"/>
      <color theme="0"/>
      <name val="Arial"/>
      <family val="2"/>
    </font>
    <font>
      <sz val="10"/>
      <color theme="1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D5EFFF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76E3FF"/>
        <bgColor indexed="64"/>
      </patternFill>
    </fill>
  </fills>
  <borders count="41">
    <border>
      <left/>
      <right/>
      <top/>
      <bottom/>
      <diagonal/>
    </border>
    <border>
      <left/>
      <right/>
      <top style="medium">
        <color theme="0"/>
      </top>
      <bottom/>
      <diagonal/>
    </border>
    <border>
      <left/>
      <right/>
      <top/>
      <bottom style="medium">
        <color theme="0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/>
      <bottom style="medium">
        <color theme="0"/>
      </bottom>
      <diagonal/>
    </border>
    <border>
      <left style="thick">
        <color theme="0"/>
      </left>
      <right style="thin">
        <color theme="0"/>
      </right>
      <top style="medium">
        <color theme="0"/>
      </top>
      <bottom/>
      <diagonal/>
    </border>
    <border>
      <left style="thick">
        <color theme="0"/>
      </left>
      <right style="thin">
        <color theme="0"/>
      </right>
      <top/>
      <bottom style="medium">
        <color theme="0"/>
      </bottom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ck">
        <color theme="0"/>
      </left>
      <right/>
      <top style="thick">
        <color theme="0"/>
      </top>
      <bottom style="thick">
        <color theme="0"/>
      </bottom>
      <diagonal/>
    </border>
    <border>
      <left style="thin">
        <color theme="0"/>
      </left>
      <right/>
      <top/>
      <bottom style="medium">
        <color theme="0"/>
      </bottom>
      <diagonal/>
    </border>
    <border>
      <left style="thick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ck">
        <color theme="0"/>
      </right>
      <top/>
      <bottom style="thin">
        <color theme="0"/>
      </bottom>
      <diagonal/>
    </border>
    <border>
      <left style="thick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ck">
        <color theme="0"/>
      </right>
      <top style="thin">
        <color theme="0"/>
      </top>
      <bottom style="thin">
        <color theme="0"/>
      </bottom>
      <diagonal/>
    </border>
    <border>
      <left style="thick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ck">
        <color theme="0"/>
      </right>
      <top style="thin">
        <color theme="0"/>
      </top>
      <bottom/>
      <diagonal/>
    </border>
    <border>
      <left/>
      <right style="thick">
        <color theme="0"/>
      </right>
      <top style="medium">
        <color theme="0"/>
      </top>
      <bottom/>
      <diagonal/>
    </border>
    <border>
      <left/>
      <right style="thick">
        <color theme="0"/>
      </right>
      <top/>
      <bottom style="medium">
        <color theme="0"/>
      </bottom>
      <diagonal/>
    </border>
    <border>
      <left style="medium">
        <color theme="0"/>
      </left>
      <right/>
      <top/>
      <bottom/>
      <diagonal/>
    </border>
    <border>
      <left/>
      <right style="medium">
        <color theme="0"/>
      </right>
      <top style="medium">
        <color theme="0"/>
      </top>
      <bottom/>
      <diagonal/>
    </border>
    <border>
      <left style="thin">
        <color theme="0"/>
      </left>
      <right style="thick">
        <color theme="0"/>
      </right>
      <top style="medium">
        <color theme="0"/>
      </top>
      <bottom/>
      <diagonal/>
    </border>
    <border>
      <left/>
      <right style="thick">
        <color rgb="FFFF0000"/>
      </right>
      <top/>
      <bottom/>
      <diagonal/>
    </border>
    <border>
      <left/>
      <right/>
      <top/>
      <bottom style="thick">
        <color theme="0"/>
      </bottom>
      <diagonal/>
    </border>
    <border>
      <left style="thick">
        <color theme="0"/>
      </left>
      <right/>
      <top style="thick">
        <color theme="0"/>
      </top>
      <bottom style="medium">
        <color theme="0"/>
      </bottom>
      <diagonal/>
    </border>
    <border>
      <left/>
      <right/>
      <top style="thick">
        <color theme="0"/>
      </top>
      <bottom style="medium">
        <color theme="0"/>
      </bottom>
      <diagonal/>
    </border>
    <border>
      <left/>
      <right style="thick">
        <color theme="0"/>
      </right>
      <top style="thick">
        <color theme="0"/>
      </top>
      <bottom style="medium">
        <color theme="0"/>
      </bottom>
      <diagonal/>
    </border>
    <border>
      <left style="thick">
        <color theme="0"/>
      </left>
      <right style="thin">
        <color theme="0"/>
      </right>
      <top/>
      <bottom/>
      <diagonal/>
    </border>
    <border>
      <left style="thick">
        <color theme="0"/>
      </left>
      <right/>
      <top style="thick">
        <color theme="0"/>
      </top>
      <bottom/>
      <diagonal/>
    </border>
    <border>
      <left/>
      <right/>
      <top style="thick">
        <color theme="0"/>
      </top>
      <bottom/>
      <diagonal/>
    </border>
    <border>
      <left/>
      <right style="thick">
        <color theme="0"/>
      </right>
      <top style="thick">
        <color theme="0"/>
      </top>
      <bottom/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149">
    <xf numFmtId="0" fontId="0" fillId="0" borderId="0" xfId="0"/>
    <xf numFmtId="2" fontId="2" fillId="9" borderId="15" xfId="0" applyNumberFormat="1" applyFont="1" applyFill="1" applyBorder="1" applyAlignment="1">
      <alignment horizontal="center" vertical="center"/>
    </xf>
    <xf numFmtId="2" fontId="2" fillId="9" borderId="16" xfId="0" applyNumberFormat="1" applyFont="1" applyFill="1" applyBorder="1" applyAlignment="1">
      <alignment horizontal="center" vertical="center"/>
    </xf>
    <xf numFmtId="2" fontId="1" fillId="11" borderId="14" xfId="0" applyNumberFormat="1" applyFont="1" applyFill="1" applyBorder="1" applyAlignment="1">
      <alignment horizontal="center" vertical="center"/>
    </xf>
    <xf numFmtId="2" fontId="1" fillId="11" borderId="15" xfId="0" applyNumberFormat="1" applyFont="1" applyFill="1" applyBorder="1" applyAlignment="1">
      <alignment horizontal="center" vertical="center"/>
    </xf>
    <xf numFmtId="2" fontId="2" fillId="11" borderId="15" xfId="0" applyNumberFormat="1" applyFont="1" applyFill="1" applyBorder="1" applyAlignment="1">
      <alignment horizontal="center" vertical="center"/>
    </xf>
    <xf numFmtId="2" fontId="2" fillId="11" borderId="16" xfId="0" applyNumberFormat="1" applyFont="1" applyFill="1" applyBorder="1" applyAlignment="1">
      <alignment horizontal="center" vertical="center"/>
    </xf>
    <xf numFmtId="2" fontId="2" fillId="9" borderId="17" xfId="0" applyNumberFormat="1" applyFont="1" applyFill="1" applyBorder="1" applyAlignment="1">
      <alignment horizontal="center" vertical="center"/>
    </xf>
    <xf numFmtId="2" fontId="2" fillId="11" borderId="18" xfId="0" applyNumberFormat="1" applyFont="1" applyFill="1" applyBorder="1" applyAlignment="1">
      <alignment horizontal="center" vertical="center"/>
    </xf>
    <xf numFmtId="2" fontId="2" fillId="11" borderId="19" xfId="0" applyNumberFormat="1" applyFont="1" applyFill="1" applyBorder="1" applyAlignment="1">
      <alignment horizontal="center" vertical="center"/>
    </xf>
    <xf numFmtId="2" fontId="2" fillId="11" borderId="17" xfId="0" applyNumberFormat="1" applyFont="1" applyFill="1" applyBorder="1" applyAlignment="1">
      <alignment horizontal="center" vertical="center"/>
    </xf>
    <xf numFmtId="2" fontId="2" fillId="9" borderId="18" xfId="0" applyNumberFormat="1" applyFont="1" applyFill="1" applyBorder="1" applyAlignment="1">
      <alignment horizontal="center" vertical="center"/>
    </xf>
    <xf numFmtId="2" fontId="3" fillId="9" borderId="18" xfId="0" applyNumberFormat="1" applyFont="1" applyFill="1" applyBorder="1" applyAlignment="1">
      <alignment horizontal="center" vertical="center"/>
    </xf>
    <xf numFmtId="2" fontId="3" fillId="11" borderId="18" xfId="0" applyNumberFormat="1" applyFont="1" applyFill="1" applyBorder="1" applyAlignment="1">
      <alignment horizontal="center" vertical="center"/>
    </xf>
    <xf numFmtId="2" fontId="2" fillId="9" borderId="19" xfId="0" applyNumberFormat="1" applyFont="1" applyFill="1" applyBorder="1" applyAlignment="1">
      <alignment horizontal="center" vertical="center"/>
    </xf>
    <xf numFmtId="2" fontId="4" fillId="3" borderId="17" xfId="0" applyNumberFormat="1" applyFont="1" applyFill="1" applyBorder="1" applyAlignment="1">
      <alignment horizontal="center" vertical="center"/>
    </xf>
    <xf numFmtId="2" fontId="4" fillId="3" borderId="18" xfId="0" applyNumberFormat="1" applyFont="1" applyFill="1" applyBorder="1" applyAlignment="1">
      <alignment horizontal="center" vertical="center"/>
    </xf>
    <xf numFmtId="2" fontId="4" fillId="3" borderId="19" xfId="0" applyNumberFormat="1" applyFont="1" applyFill="1" applyBorder="1" applyAlignment="1">
      <alignment horizontal="center" vertical="center"/>
    </xf>
    <xf numFmtId="2" fontId="4" fillId="6" borderId="18" xfId="0" applyNumberFormat="1" applyFont="1" applyFill="1" applyBorder="1" applyAlignment="1">
      <alignment horizontal="center" vertical="center"/>
    </xf>
    <xf numFmtId="2" fontId="4" fillId="6" borderId="19" xfId="0" applyNumberFormat="1" applyFont="1" applyFill="1" applyBorder="1" applyAlignment="1">
      <alignment horizontal="center" vertical="center"/>
    </xf>
    <xf numFmtId="2" fontId="4" fillId="11" borderId="17" xfId="0" applyNumberFormat="1" applyFont="1" applyFill="1" applyBorder="1" applyAlignment="1">
      <alignment horizontal="center" vertical="center"/>
    </xf>
    <xf numFmtId="2" fontId="4" fillId="11" borderId="18" xfId="0" applyNumberFormat="1" applyFont="1" applyFill="1" applyBorder="1" applyAlignment="1">
      <alignment horizontal="center" vertical="center"/>
    </xf>
    <xf numFmtId="2" fontId="4" fillId="11" borderId="19" xfId="0" applyNumberFormat="1" applyFont="1" applyFill="1" applyBorder="1" applyAlignment="1">
      <alignment horizontal="center" vertical="center"/>
    </xf>
    <xf numFmtId="2" fontId="2" fillId="6" borderId="17" xfId="0" applyNumberFormat="1" applyFont="1" applyFill="1" applyBorder="1" applyAlignment="1">
      <alignment horizontal="center" vertical="center"/>
    </xf>
    <xf numFmtId="2" fontId="2" fillId="6" borderId="18" xfId="0" applyNumberFormat="1" applyFont="1" applyFill="1" applyBorder="1" applyAlignment="1">
      <alignment horizontal="center" vertical="center"/>
    </xf>
    <xf numFmtId="2" fontId="2" fillId="3" borderId="17" xfId="0" applyNumberFormat="1" applyFont="1" applyFill="1" applyBorder="1" applyAlignment="1">
      <alignment horizontal="center" vertical="center"/>
    </xf>
    <xf numFmtId="2" fontId="2" fillId="3" borderId="18" xfId="0" applyNumberFormat="1" applyFont="1" applyFill="1" applyBorder="1" applyAlignment="1">
      <alignment horizontal="center" vertical="center"/>
    </xf>
    <xf numFmtId="2" fontId="2" fillId="3" borderId="19" xfId="0" applyNumberFormat="1" applyFont="1" applyFill="1" applyBorder="1" applyAlignment="1">
      <alignment horizontal="center" vertical="center"/>
    </xf>
    <xf numFmtId="2" fontId="2" fillId="10" borderId="17" xfId="0" applyNumberFormat="1" applyFont="1" applyFill="1" applyBorder="1" applyAlignment="1">
      <alignment horizontal="center" vertical="center"/>
    </xf>
    <xf numFmtId="2" fontId="2" fillId="7" borderId="17" xfId="0" applyNumberFormat="1" applyFont="1" applyFill="1" applyBorder="1" applyAlignment="1">
      <alignment horizontal="center" vertical="center"/>
    </xf>
    <xf numFmtId="2" fontId="2" fillId="5" borderId="19" xfId="0" applyNumberFormat="1" applyFont="1" applyFill="1" applyBorder="1" applyAlignment="1">
      <alignment horizontal="center" vertical="center"/>
    </xf>
    <xf numFmtId="2" fontId="2" fillId="11" borderId="20" xfId="0" applyNumberFormat="1" applyFont="1" applyFill="1" applyBorder="1" applyAlignment="1">
      <alignment horizontal="center" vertical="center"/>
    </xf>
    <xf numFmtId="2" fontId="2" fillId="11" borderId="21" xfId="0" applyNumberFormat="1" applyFont="1" applyFill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4" fillId="0" borderId="0" xfId="0" applyFont="1"/>
    <xf numFmtId="20" fontId="4" fillId="0" borderId="0" xfId="0" applyNumberFormat="1" applyFont="1" applyAlignment="1">
      <alignment horizontal="center" vertical="center"/>
    </xf>
    <xf numFmtId="0" fontId="5" fillId="8" borderId="11" xfId="0" applyFont="1" applyFill="1" applyBorder="1" applyAlignment="1">
      <alignment horizontal="center"/>
    </xf>
    <xf numFmtId="0" fontId="6" fillId="8" borderId="11" xfId="0" applyFont="1" applyFill="1" applyBorder="1"/>
    <xf numFmtId="0" fontId="6" fillId="8" borderId="10" xfId="0" applyFont="1" applyFill="1" applyBorder="1" applyAlignment="1">
      <alignment horizontal="center"/>
    </xf>
    <xf numFmtId="2" fontId="4" fillId="0" borderId="0" xfId="0" applyNumberFormat="1" applyFont="1"/>
    <xf numFmtId="0" fontId="1" fillId="0" borderId="0" xfId="0" applyFont="1"/>
    <xf numFmtId="0" fontId="1" fillId="0" borderId="0" xfId="0" applyFont="1" applyAlignment="1">
      <alignment horizontal="center" vertical="center"/>
    </xf>
    <xf numFmtId="2" fontId="1" fillId="0" borderId="0" xfId="0" applyNumberFormat="1" applyFont="1"/>
    <xf numFmtId="2" fontId="1" fillId="0" borderId="0" xfId="0" applyNumberFormat="1" applyFont="1" applyAlignment="1">
      <alignment horizontal="center"/>
    </xf>
    <xf numFmtId="0" fontId="5" fillId="8" borderId="0" xfId="0" applyFont="1" applyFill="1"/>
    <xf numFmtId="0" fontId="7" fillId="8" borderId="0" xfId="0" applyFont="1" applyFill="1" applyAlignment="1">
      <alignment vertical="center"/>
    </xf>
    <xf numFmtId="0" fontId="5" fillId="8" borderId="3" xfId="0" applyFont="1" applyFill="1" applyBorder="1"/>
    <xf numFmtId="2" fontId="7" fillId="8" borderId="6" xfId="0" applyNumberFormat="1" applyFont="1" applyFill="1" applyBorder="1" applyAlignment="1">
      <alignment horizontal="center" vertical="center"/>
    </xf>
    <xf numFmtId="0" fontId="7" fillId="8" borderId="1" xfId="0" applyFont="1" applyFill="1" applyBorder="1" applyAlignment="1">
      <alignment vertical="center"/>
    </xf>
    <xf numFmtId="0" fontId="1" fillId="0" borderId="0" xfId="0" applyFont="1" applyAlignment="1">
      <alignment horizontal="center"/>
    </xf>
    <xf numFmtId="0" fontId="8" fillId="3" borderId="0" xfId="0" applyFont="1" applyFill="1" applyAlignment="1">
      <alignment horizontal="left"/>
    </xf>
    <xf numFmtId="2" fontId="9" fillId="3" borderId="6" xfId="0" applyNumberFormat="1" applyFont="1" applyFill="1" applyBorder="1"/>
    <xf numFmtId="2" fontId="9" fillId="3" borderId="13" xfId="0" applyNumberFormat="1" applyFont="1" applyFill="1" applyBorder="1"/>
    <xf numFmtId="2" fontId="2" fillId="0" borderId="0" xfId="0" applyNumberFormat="1" applyFont="1"/>
    <xf numFmtId="2" fontId="11" fillId="3" borderId="5" xfId="0" applyNumberFormat="1" applyFont="1" applyFill="1" applyBorder="1"/>
    <xf numFmtId="2" fontId="11" fillId="3" borderId="6" xfId="0" applyNumberFormat="1" applyFont="1" applyFill="1" applyBorder="1"/>
    <xf numFmtId="0" fontId="12" fillId="3" borderId="0" xfId="0" applyFont="1" applyFill="1" applyAlignment="1">
      <alignment vertical="center" wrapText="1"/>
    </xf>
    <xf numFmtId="0" fontId="11" fillId="3" borderId="0" xfId="0" applyFont="1" applyFill="1" applyAlignment="1">
      <alignment vertical="center" wrapText="1"/>
    </xf>
    <xf numFmtId="2" fontId="11" fillId="3" borderId="1" xfId="0" applyNumberFormat="1" applyFont="1" applyFill="1" applyBorder="1"/>
    <xf numFmtId="0" fontId="8" fillId="3" borderId="3" xfId="0" applyFont="1" applyFill="1" applyBorder="1" applyAlignment="1">
      <alignment horizontal="left"/>
    </xf>
    <xf numFmtId="2" fontId="11" fillId="3" borderId="4" xfId="0" applyNumberFormat="1" applyFont="1" applyFill="1" applyBorder="1"/>
    <xf numFmtId="2" fontId="11" fillId="3" borderId="2" xfId="0" applyNumberFormat="1" applyFont="1" applyFill="1" applyBorder="1"/>
    <xf numFmtId="0" fontId="12" fillId="3" borderId="0" xfId="0" applyFont="1" applyFill="1" applyAlignment="1">
      <alignment horizontal="left" vertical="center" wrapText="1"/>
    </xf>
    <xf numFmtId="2" fontId="13" fillId="2" borderId="12" xfId="0" applyNumberFormat="1" applyFont="1" applyFill="1" applyBorder="1"/>
    <xf numFmtId="2" fontId="14" fillId="2" borderId="11" xfId="0" applyNumberFormat="1" applyFont="1" applyFill="1" applyBorder="1"/>
    <xf numFmtId="0" fontId="14" fillId="2" borderId="10" xfId="0" applyFont="1" applyFill="1" applyBorder="1"/>
    <xf numFmtId="2" fontId="14" fillId="2" borderId="0" xfId="0" applyNumberFormat="1" applyFont="1" applyFill="1"/>
    <xf numFmtId="0" fontId="14" fillId="2" borderId="0" xfId="0" applyFont="1" applyFill="1"/>
    <xf numFmtId="0" fontId="8" fillId="3" borderId="0" xfId="0" applyFont="1" applyFill="1"/>
    <xf numFmtId="2" fontId="11" fillId="3" borderId="27" xfId="0" applyNumberFormat="1" applyFont="1" applyFill="1" applyBorder="1"/>
    <xf numFmtId="2" fontId="8" fillId="0" borderId="0" xfId="0" applyNumberFormat="1" applyFont="1"/>
    <xf numFmtId="0" fontId="13" fillId="2" borderId="0" xfId="0" applyFont="1" applyFill="1" applyAlignment="1">
      <alignment horizontal="center"/>
    </xf>
    <xf numFmtId="2" fontId="13" fillId="2" borderId="0" xfId="0" applyNumberFormat="1" applyFont="1" applyFill="1" applyAlignment="1">
      <alignment horizontal="center"/>
    </xf>
    <xf numFmtId="0" fontId="2" fillId="0" borderId="0" xfId="0" applyFont="1" applyAlignment="1">
      <alignment horizontal="left" vertical="center"/>
    </xf>
    <xf numFmtId="0" fontId="12" fillId="0" borderId="0" xfId="0" applyFont="1"/>
    <xf numFmtId="0" fontId="8" fillId="0" borderId="0" xfId="0" applyFont="1" applyAlignment="1">
      <alignment vertical="center"/>
    </xf>
    <xf numFmtId="2" fontId="12" fillId="0" borderId="0" xfId="0" applyNumberFormat="1" applyFont="1"/>
    <xf numFmtId="0" fontId="12" fillId="0" borderId="0" xfId="0" applyFont="1" applyAlignment="1">
      <alignment vertical="center"/>
    </xf>
    <xf numFmtId="0" fontId="2" fillId="0" borderId="0" xfId="0" applyFont="1" applyAlignment="1">
      <alignment horizontal="left"/>
    </xf>
    <xf numFmtId="0" fontId="15" fillId="0" borderId="0" xfId="0" applyFont="1" applyAlignment="1">
      <alignment horizontal="center" vertical="center"/>
    </xf>
    <xf numFmtId="0" fontId="15" fillId="0" borderId="0" xfId="0" applyFont="1"/>
    <xf numFmtId="0" fontId="15" fillId="0" borderId="0" xfId="0" applyFont="1" applyAlignment="1">
      <alignment horizontal="left"/>
    </xf>
    <xf numFmtId="2" fontId="15" fillId="0" borderId="0" xfId="0" applyNumberFormat="1" applyFont="1"/>
    <xf numFmtId="0" fontId="8" fillId="0" borderId="0" xfId="0" applyFont="1" applyAlignment="1">
      <alignment horizontal="center"/>
    </xf>
    <xf numFmtId="2" fontId="11" fillId="0" borderId="0" xfId="0" applyNumberFormat="1" applyFont="1"/>
    <xf numFmtId="2" fontId="11" fillId="0" borderId="28" xfId="0" applyNumberFormat="1" applyFont="1" applyBorder="1"/>
    <xf numFmtId="0" fontId="2" fillId="0" borderId="28" xfId="0" applyFont="1" applyBorder="1" applyAlignment="1">
      <alignment horizontal="left" vertical="center"/>
    </xf>
    <xf numFmtId="0" fontId="2" fillId="0" borderId="28" xfId="0" applyFont="1" applyBorder="1" applyAlignment="1">
      <alignment horizontal="left"/>
    </xf>
    <xf numFmtId="0" fontId="15" fillId="0" borderId="28" xfId="0" applyFont="1" applyBorder="1" applyAlignment="1">
      <alignment horizontal="left"/>
    </xf>
    <xf numFmtId="0" fontId="4" fillId="0" borderId="7" xfId="0" applyFont="1" applyBorder="1"/>
    <xf numFmtId="0" fontId="1" fillId="0" borderId="7" xfId="0" applyFont="1" applyBorder="1"/>
    <xf numFmtId="0" fontId="2" fillId="0" borderId="7" xfId="0" applyFont="1" applyBorder="1"/>
    <xf numFmtId="2" fontId="2" fillId="13" borderId="17" xfId="0" applyNumberFormat="1" applyFont="1" applyFill="1" applyBorder="1" applyAlignment="1">
      <alignment horizontal="center" vertical="center"/>
    </xf>
    <xf numFmtId="2" fontId="2" fillId="13" borderId="18" xfId="0" applyNumberFormat="1" applyFont="1" applyFill="1" applyBorder="1" applyAlignment="1">
      <alignment horizontal="center" vertical="center"/>
    </xf>
    <xf numFmtId="2" fontId="3" fillId="13" borderId="18" xfId="0" applyNumberFormat="1" applyFont="1" applyFill="1" applyBorder="1" applyAlignment="1">
      <alignment horizontal="center" vertical="center"/>
    </xf>
    <xf numFmtId="2" fontId="2" fillId="13" borderId="19" xfId="0" applyNumberFormat="1" applyFont="1" applyFill="1" applyBorder="1" applyAlignment="1">
      <alignment horizontal="center" vertical="center"/>
    </xf>
    <xf numFmtId="2" fontId="2" fillId="13" borderId="22" xfId="0" applyNumberFormat="1" applyFont="1" applyFill="1" applyBorder="1" applyAlignment="1">
      <alignment horizontal="center" vertical="center"/>
    </xf>
    <xf numFmtId="2" fontId="11" fillId="3" borderId="33" xfId="0" applyNumberFormat="1" applyFont="1" applyFill="1" applyBorder="1"/>
    <xf numFmtId="2" fontId="2" fillId="9" borderId="14" xfId="0" applyNumberFormat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/>
    </xf>
    <xf numFmtId="0" fontId="5" fillId="8" borderId="8" xfId="0" applyFont="1" applyFill="1" applyBorder="1" applyAlignment="1">
      <alignment horizontal="center"/>
    </xf>
    <xf numFmtId="2" fontId="7" fillId="4" borderId="34" xfId="0" applyNumberFormat="1" applyFont="1" applyFill="1" applyBorder="1" applyAlignment="1">
      <alignment horizontal="center" vertical="center"/>
    </xf>
    <xf numFmtId="0" fontId="7" fillId="4" borderId="35" xfId="0" applyFont="1" applyFill="1" applyBorder="1" applyAlignment="1">
      <alignment horizontal="center" vertical="center"/>
    </xf>
    <xf numFmtId="0" fontId="7" fillId="4" borderId="36" xfId="0" applyFont="1" applyFill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2" fontId="7" fillId="8" borderId="30" xfId="0" applyNumberFormat="1" applyFont="1" applyFill="1" applyBorder="1" applyAlignment="1">
      <alignment horizontal="center" vertical="center"/>
    </xf>
    <xf numFmtId="2" fontId="7" fillId="8" borderId="31" xfId="0" applyNumberFormat="1" applyFont="1" applyFill="1" applyBorder="1" applyAlignment="1">
      <alignment horizontal="center" vertical="center"/>
    </xf>
    <xf numFmtId="2" fontId="7" fillId="8" borderId="32" xfId="0" applyNumberFormat="1" applyFont="1" applyFill="1" applyBorder="1" applyAlignment="1">
      <alignment horizontal="center" vertical="center"/>
    </xf>
    <xf numFmtId="0" fontId="5" fillId="8" borderId="11" xfId="0" applyFont="1" applyFill="1" applyBorder="1" applyAlignment="1">
      <alignment horizontal="center"/>
    </xf>
    <xf numFmtId="0" fontId="5" fillId="8" borderId="10" xfId="0" applyFont="1" applyFill="1" applyBorder="1" applyAlignment="1">
      <alignment horizontal="center"/>
    </xf>
    <xf numFmtId="0" fontId="10" fillId="3" borderId="3" xfId="0" applyFont="1" applyFill="1" applyBorder="1" applyAlignment="1">
      <alignment vertical="center" wrapText="1"/>
    </xf>
    <xf numFmtId="2" fontId="7" fillId="4" borderId="9" xfId="0" applyNumberFormat="1" applyFont="1" applyFill="1" applyBorder="1" applyAlignment="1">
      <alignment horizontal="center" vertical="center"/>
    </xf>
    <xf numFmtId="0" fontId="7" fillId="4" borderId="9" xfId="0" applyFont="1" applyFill="1" applyBorder="1" applyAlignment="1">
      <alignment horizontal="center" vertical="center"/>
    </xf>
    <xf numFmtId="0" fontId="13" fillId="2" borderId="12" xfId="0" applyFont="1" applyFill="1" applyBorder="1" applyAlignment="1">
      <alignment horizontal="center"/>
    </xf>
    <xf numFmtId="0" fontId="13" fillId="2" borderId="11" xfId="0" applyFont="1" applyFill="1" applyBorder="1" applyAlignment="1">
      <alignment horizontal="center"/>
    </xf>
    <xf numFmtId="0" fontId="13" fillId="2" borderId="10" xfId="0" applyFont="1" applyFill="1" applyBorder="1" applyAlignment="1">
      <alignment horizontal="center"/>
    </xf>
    <xf numFmtId="2" fontId="7" fillId="8" borderId="7" xfId="0" applyNumberFormat="1" applyFont="1" applyFill="1" applyBorder="1" applyAlignment="1">
      <alignment horizontal="center" vertical="center"/>
    </xf>
    <xf numFmtId="2" fontId="7" fillId="8" borderId="8" xfId="0" applyNumberFormat="1" applyFont="1" applyFill="1" applyBorder="1" applyAlignment="1">
      <alignment horizontal="center" vertical="center"/>
    </xf>
    <xf numFmtId="164" fontId="8" fillId="0" borderId="0" xfId="0" applyNumberFormat="1" applyFont="1" applyAlignment="1">
      <alignment horizontal="center"/>
    </xf>
    <xf numFmtId="1" fontId="5" fillId="8" borderId="9" xfId="0" applyNumberFormat="1" applyFont="1" applyFill="1" applyBorder="1" applyAlignment="1">
      <alignment horizontal="center" vertical="center"/>
    </xf>
    <xf numFmtId="2" fontId="7" fillId="12" borderId="9" xfId="0" applyNumberFormat="1" applyFont="1" applyFill="1" applyBorder="1" applyAlignment="1">
      <alignment horizontal="center" vertical="center"/>
    </xf>
    <xf numFmtId="0" fontId="7" fillId="12" borderId="9" xfId="0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/>
    </xf>
    <xf numFmtId="0" fontId="8" fillId="9" borderId="26" xfId="0" applyFont="1" applyFill="1" applyBorder="1" applyAlignment="1">
      <alignment horizontal="center"/>
    </xf>
    <xf numFmtId="0" fontId="8" fillId="7" borderId="25" xfId="0" applyFont="1" applyFill="1" applyBorder="1" applyAlignment="1">
      <alignment horizontal="center"/>
    </xf>
    <xf numFmtId="0" fontId="8" fillId="7" borderId="0" xfId="0" applyFont="1" applyFill="1" applyAlignment="1">
      <alignment horizontal="center"/>
    </xf>
    <xf numFmtId="2" fontId="13" fillId="2" borderId="12" xfId="0" applyNumberFormat="1" applyFont="1" applyFill="1" applyBorder="1" applyAlignment="1">
      <alignment horizontal="center"/>
    </xf>
    <xf numFmtId="2" fontId="13" fillId="2" borderId="11" xfId="0" applyNumberFormat="1" applyFont="1" applyFill="1" applyBorder="1" applyAlignment="1">
      <alignment horizontal="center"/>
    </xf>
    <xf numFmtId="14" fontId="7" fillId="8" borderId="9" xfId="0" applyNumberFormat="1" applyFont="1" applyFill="1" applyBorder="1" applyAlignment="1">
      <alignment horizontal="center" vertical="center"/>
    </xf>
    <xf numFmtId="0" fontId="7" fillId="8" borderId="9" xfId="0" applyFont="1" applyFill="1" applyBorder="1" applyAlignment="1">
      <alignment horizontal="center" vertical="center"/>
    </xf>
    <xf numFmtId="0" fontId="12" fillId="3" borderId="3" xfId="0" applyFont="1" applyFill="1" applyBorder="1" applyAlignment="1">
      <alignment vertical="center" wrapText="1"/>
    </xf>
    <xf numFmtId="0" fontId="12" fillId="3" borderId="23" xfId="0" applyFont="1" applyFill="1" applyBorder="1" applyAlignment="1">
      <alignment horizontal="left" vertical="center"/>
    </xf>
    <xf numFmtId="0" fontId="12" fillId="3" borderId="24" xfId="0" applyFont="1" applyFill="1" applyBorder="1" applyAlignment="1">
      <alignment horizontal="left" vertical="center"/>
    </xf>
    <xf numFmtId="0" fontId="10" fillId="3" borderId="23" xfId="0" applyFont="1" applyFill="1" applyBorder="1" applyAlignment="1">
      <alignment vertical="center" wrapText="1"/>
    </xf>
    <xf numFmtId="0" fontId="10" fillId="3" borderId="24" xfId="0" applyFont="1" applyFill="1" applyBorder="1" applyAlignment="1">
      <alignment vertical="center" wrapText="1"/>
    </xf>
    <xf numFmtId="0" fontId="12" fillId="3" borderId="3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center"/>
    </xf>
    <xf numFmtId="0" fontId="8" fillId="6" borderId="26" xfId="0" applyFont="1" applyFill="1" applyBorder="1" applyAlignment="1">
      <alignment horizontal="center"/>
    </xf>
    <xf numFmtId="0" fontId="8" fillId="10" borderId="1" xfId="0" applyFont="1" applyFill="1" applyBorder="1" applyAlignment="1">
      <alignment horizontal="center"/>
    </xf>
    <xf numFmtId="0" fontId="8" fillId="10" borderId="26" xfId="0" applyFont="1" applyFill="1" applyBorder="1" applyAlignment="1">
      <alignment horizontal="center"/>
    </xf>
    <xf numFmtId="0" fontId="8" fillId="14" borderId="25" xfId="0" applyFont="1" applyFill="1" applyBorder="1" applyAlignment="1">
      <alignment horizontal="center"/>
    </xf>
    <xf numFmtId="0" fontId="8" fillId="14" borderId="0" xfId="0" applyFont="1" applyFill="1" applyAlignment="1">
      <alignment horizontal="center"/>
    </xf>
    <xf numFmtId="2" fontId="2" fillId="13" borderId="37" xfId="0" applyNumberFormat="1" applyFont="1" applyFill="1" applyBorder="1" applyAlignment="1">
      <alignment horizontal="center" vertical="center"/>
    </xf>
    <xf numFmtId="2" fontId="2" fillId="11" borderId="38" xfId="0" applyNumberFormat="1" applyFont="1" applyFill="1" applyBorder="1" applyAlignment="1">
      <alignment horizontal="center" vertical="center"/>
    </xf>
    <xf numFmtId="0" fontId="2" fillId="0" borderId="39" xfId="0" applyFont="1" applyBorder="1"/>
    <xf numFmtId="2" fontId="2" fillId="11" borderId="37" xfId="0" applyNumberFormat="1" applyFont="1" applyFill="1" applyBorder="1" applyAlignment="1">
      <alignment horizontal="center" vertical="center"/>
    </xf>
    <xf numFmtId="2" fontId="2" fillId="11" borderId="40" xfId="0" applyNumberFormat="1" applyFont="1" applyFill="1" applyBorder="1" applyAlignment="1">
      <alignment horizontal="center" vertical="center"/>
    </xf>
  </cellXfs>
  <cellStyles count="1">
    <cellStyle name="Standard" xfId="0" builtinId="0"/>
  </cellStyles>
  <dxfs count="2">
    <dxf>
      <fill>
        <patternFill>
          <bgColor rgb="FFFF0000"/>
        </patternFill>
      </fill>
    </dxf>
    <dxf>
      <font>
        <color auto="1"/>
      </font>
      <fill>
        <patternFill>
          <bgColor rgb="FF00B050"/>
        </patternFill>
      </fill>
    </dxf>
  </dxfs>
  <tableStyles count="0" defaultTableStyle="TableStyleMedium9" defaultPivotStyle="PivotStyleLight16"/>
  <colors>
    <mruColors>
      <color rgb="FFFF5050"/>
      <color rgb="FFFFFF99"/>
      <color rgb="FFD5EFFF"/>
      <color rgb="FF66FF99"/>
      <color rgb="FFCCFFCC"/>
      <color rgb="FF008000"/>
      <color rgb="FFCCECFF"/>
      <color rgb="FFB3E2FF"/>
      <color rgb="FF003399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264242</xdr:colOff>
      <xdr:row>125</xdr:row>
      <xdr:rowOff>10584</xdr:rowOff>
    </xdr:from>
    <xdr:to>
      <xdr:col>20</xdr:col>
      <xdr:colOff>560917</xdr:colOff>
      <xdr:row>125</xdr:row>
      <xdr:rowOff>210384</xdr:rowOff>
    </xdr:to>
    <xdr:sp macro="" textlink="">
      <xdr:nvSpPr>
        <xdr:cNvPr id="8" name="Eingekerbter Richtungspfeil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/>
      </xdr:nvSpPr>
      <xdr:spPr>
        <a:xfrm>
          <a:off x="13027742" y="21198417"/>
          <a:ext cx="2042925" cy="199800"/>
        </a:xfrm>
        <a:prstGeom prst="chevron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1548725</xdr:colOff>
      <xdr:row>125</xdr:row>
      <xdr:rowOff>190500</xdr:rowOff>
    </xdr:from>
    <xdr:to>
      <xdr:col>2</xdr:col>
      <xdr:colOff>1885293</xdr:colOff>
      <xdr:row>355</xdr:row>
      <xdr:rowOff>59120</xdr:rowOff>
    </xdr:to>
    <xdr:sp macro="" textlink="">
      <xdr:nvSpPr>
        <xdr:cNvPr id="4" name="Raut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1686673" y="23365810"/>
          <a:ext cx="336568" cy="348155"/>
        </a:xfrm>
        <a:prstGeom prst="diamond">
          <a:avLst/>
        </a:prstGeom>
        <a:solidFill>
          <a:srgbClr val="FF0000">
            <a:alpha val="85000"/>
          </a:srgb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30725</xdr:colOff>
      <xdr:row>125</xdr:row>
      <xdr:rowOff>12291</xdr:rowOff>
    </xdr:from>
    <xdr:to>
      <xdr:col>8</xdr:col>
      <xdr:colOff>344129</xdr:colOff>
      <xdr:row>125</xdr:row>
      <xdr:rowOff>233517</xdr:rowOff>
    </xdr:to>
    <xdr:sp macro="" textlink="">
      <xdr:nvSpPr>
        <xdr:cNvPr id="22" name="Eingekerbter Richtungspfeil 21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SpPr/>
      </xdr:nvSpPr>
      <xdr:spPr>
        <a:xfrm>
          <a:off x="5822540" y="23154968"/>
          <a:ext cx="2046339" cy="221226"/>
        </a:xfrm>
        <a:prstGeom prst="chevron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3810000</xdr:colOff>
      <xdr:row>124</xdr:row>
      <xdr:rowOff>39414</xdr:rowOff>
    </xdr:from>
    <xdr:to>
      <xdr:col>2</xdr:col>
      <xdr:colOff>4660353</xdr:colOff>
      <xdr:row>124</xdr:row>
      <xdr:rowOff>234677</xdr:rowOff>
    </xdr:to>
    <xdr:sp macro="" textlink="">
      <xdr:nvSpPr>
        <xdr:cNvPr id="5" name="Pfeil nach rechts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3947948" y="22978242"/>
          <a:ext cx="850353" cy="195263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8</xdr:col>
      <xdr:colOff>431617</xdr:colOff>
      <xdr:row>36</xdr:row>
      <xdr:rowOff>181613</xdr:rowOff>
    </xdr:from>
    <xdr:to>
      <xdr:col>9</xdr:col>
      <xdr:colOff>190117</xdr:colOff>
      <xdr:row>38</xdr:row>
      <xdr:rowOff>84238</xdr:rowOff>
    </xdr:to>
    <xdr:sp macro="" textlink="">
      <xdr:nvSpPr>
        <xdr:cNvPr id="31" name="Raute 30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SpPr/>
      </xdr:nvSpPr>
      <xdr:spPr>
        <a:xfrm>
          <a:off x="7961970" y="4260554"/>
          <a:ext cx="341206" cy="350860"/>
        </a:xfrm>
        <a:prstGeom prst="diamond">
          <a:avLst/>
        </a:prstGeom>
        <a:solidFill>
          <a:srgbClr val="FF0000">
            <a:alpha val="85000"/>
          </a:srgb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420414</xdr:colOff>
      <xdr:row>61</xdr:row>
      <xdr:rowOff>184262</xdr:rowOff>
    </xdr:from>
    <xdr:to>
      <xdr:col>13</xdr:col>
      <xdr:colOff>178913</xdr:colOff>
      <xdr:row>63</xdr:row>
      <xdr:rowOff>163615</xdr:rowOff>
    </xdr:to>
    <xdr:sp macro="" textlink="">
      <xdr:nvSpPr>
        <xdr:cNvPr id="32" name="Raute 31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SpPr/>
      </xdr:nvSpPr>
      <xdr:spPr>
        <a:xfrm>
          <a:off x="10285593" y="11001941"/>
          <a:ext cx="343606" cy="360353"/>
        </a:xfrm>
        <a:prstGeom prst="diamond">
          <a:avLst/>
        </a:prstGeom>
        <a:solidFill>
          <a:srgbClr val="FF0000">
            <a:alpha val="85000"/>
          </a:srgb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8</xdr:col>
      <xdr:colOff>349836</xdr:colOff>
      <xdr:row>124</xdr:row>
      <xdr:rowOff>187427</xdr:rowOff>
    </xdr:from>
    <xdr:to>
      <xdr:col>9</xdr:col>
      <xdr:colOff>105686</xdr:colOff>
      <xdr:row>126</xdr:row>
      <xdr:rowOff>43757</xdr:rowOff>
    </xdr:to>
    <xdr:sp macro="" textlink="">
      <xdr:nvSpPr>
        <xdr:cNvPr id="38" name="Raute 37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SpPr/>
      </xdr:nvSpPr>
      <xdr:spPr>
        <a:xfrm>
          <a:off x="7874586" y="21373748"/>
          <a:ext cx="340957" cy="318973"/>
        </a:xfrm>
        <a:prstGeom prst="diamond">
          <a:avLst/>
        </a:prstGeom>
        <a:solidFill>
          <a:srgbClr val="FF0000">
            <a:alpha val="85000"/>
          </a:srgb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496440</xdr:colOff>
      <xdr:row>124</xdr:row>
      <xdr:rowOff>190501</xdr:rowOff>
    </xdr:from>
    <xdr:to>
      <xdr:col>17</xdr:col>
      <xdr:colOff>252290</xdr:colOff>
      <xdr:row>126</xdr:row>
      <xdr:rowOff>46831</xdr:rowOff>
    </xdr:to>
    <xdr:sp macro="" textlink="">
      <xdr:nvSpPr>
        <xdr:cNvPr id="39" name="Raute 38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SpPr/>
      </xdr:nvSpPr>
      <xdr:spPr>
        <a:xfrm>
          <a:off x="12702047" y="21376822"/>
          <a:ext cx="340957" cy="318973"/>
        </a:xfrm>
        <a:prstGeom prst="diamond">
          <a:avLst/>
        </a:prstGeom>
        <a:solidFill>
          <a:srgbClr val="FF0000">
            <a:alpha val="85000"/>
          </a:srgb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381000</xdr:colOff>
      <xdr:row>124</xdr:row>
      <xdr:rowOff>204108</xdr:rowOff>
    </xdr:from>
    <xdr:to>
      <xdr:col>13</xdr:col>
      <xdr:colOff>136850</xdr:colOff>
      <xdr:row>126</xdr:row>
      <xdr:rowOff>60438</xdr:rowOff>
    </xdr:to>
    <xdr:sp macro="" textlink="">
      <xdr:nvSpPr>
        <xdr:cNvPr id="3" name="Raute 2">
          <a:extLst>
            <a:ext uri="{FF2B5EF4-FFF2-40B4-BE49-F238E27FC236}">
              <a16:creationId xmlns:a16="http://schemas.microsoft.com/office/drawing/2014/main" id="{AB8D6D07-F3DE-4775-AA42-E6E02C6C5163}"/>
            </a:ext>
          </a:extLst>
        </xdr:cNvPr>
        <xdr:cNvSpPr/>
      </xdr:nvSpPr>
      <xdr:spPr>
        <a:xfrm>
          <a:off x="10246179" y="21390429"/>
          <a:ext cx="340957" cy="318973"/>
        </a:xfrm>
        <a:prstGeom prst="diamond">
          <a:avLst/>
        </a:prstGeom>
        <a:solidFill>
          <a:srgbClr val="FF0000">
            <a:alpha val="85000"/>
          </a:srgb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95250</xdr:colOff>
      <xdr:row>125</xdr:row>
      <xdr:rowOff>13607</xdr:rowOff>
    </xdr:from>
    <xdr:to>
      <xdr:col>12</xdr:col>
      <xdr:colOff>395046</xdr:colOff>
      <xdr:row>125</xdr:row>
      <xdr:rowOff>225308</xdr:rowOff>
    </xdr:to>
    <xdr:sp macro="" textlink="">
      <xdr:nvSpPr>
        <xdr:cNvPr id="7" name="Eingekerbter Richtungspfeil 21">
          <a:extLst>
            <a:ext uri="{FF2B5EF4-FFF2-40B4-BE49-F238E27FC236}">
              <a16:creationId xmlns:a16="http://schemas.microsoft.com/office/drawing/2014/main" id="{E6BCA444-FC54-4483-8EA4-61C6781FEF02}"/>
            </a:ext>
          </a:extLst>
        </xdr:cNvPr>
        <xdr:cNvSpPr/>
      </xdr:nvSpPr>
      <xdr:spPr>
        <a:xfrm>
          <a:off x="8205107" y="21431250"/>
          <a:ext cx="2055118" cy="211701"/>
        </a:xfrm>
        <a:prstGeom prst="chevron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176892</xdr:colOff>
      <xdr:row>125</xdr:row>
      <xdr:rowOff>13607</xdr:rowOff>
    </xdr:from>
    <xdr:to>
      <xdr:col>16</xdr:col>
      <xdr:colOff>476689</xdr:colOff>
      <xdr:row>125</xdr:row>
      <xdr:rowOff>225308</xdr:rowOff>
    </xdr:to>
    <xdr:sp macro="" textlink="">
      <xdr:nvSpPr>
        <xdr:cNvPr id="11" name="Eingekerbter Richtungspfeil 21">
          <a:extLst>
            <a:ext uri="{FF2B5EF4-FFF2-40B4-BE49-F238E27FC236}">
              <a16:creationId xmlns:a16="http://schemas.microsoft.com/office/drawing/2014/main" id="{C5762873-2FE0-4E7E-8DC8-69454FEC535F}"/>
            </a:ext>
          </a:extLst>
        </xdr:cNvPr>
        <xdr:cNvSpPr/>
      </xdr:nvSpPr>
      <xdr:spPr>
        <a:xfrm>
          <a:off x="10627178" y="21431250"/>
          <a:ext cx="2055118" cy="211701"/>
        </a:xfrm>
        <a:prstGeom prst="chevron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>
            <a:solidFill>
              <a:schemeClr val="tx1"/>
            </a:solidFill>
          </a:endParaRPr>
        </a:p>
      </xdr:txBody>
    </xdr:sp>
    <xdr:clientData/>
  </xdr:twoCellAnchor>
  <xdr:twoCellAnchor>
    <xdr:from>
      <xdr:col>21</xdr:col>
      <xdr:colOff>0</xdr:colOff>
      <xdr:row>124</xdr:row>
      <xdr:rowOff>169334</xdr:rowOff>
    </xdr:from>
    <xdr:to>
      <xdr:col>23</xdr:col>
      <xdr:colOff>337933</xdr:colOff>
      <xdr:row>126</xdr:row>
      <xdr:rowOff>25663</xdr:rowOff>
    </xdr:to>
    <xdr:sp macro="" textlink="">
      <xdr:nvSpPr>
        <xdr:cNvPr id="14" name="Raute 13">
          <a:extLst>
            <a:ext uri="{FF2B5EF4-FFF2-40B4-BE49-F238E27FC236}">
              <a16:creationId xmlns:a16="http://schemas.microsoft.com/office/drawing/2014/main" id="{C3ACE4D5-29A9-4E91-9B20-7D8EF5740A9C}"/>
            </a:ext>
          </a:extLst>
        </xdr:cNvPr>
        <xdr:cNvSpPr/>
      </xdr:nvSpPr>
      <xdr:spPr>
        <a:xfrm>
          <a:off x="15091833" y="25675167"/>
          <a:ext cx="337933" cy="321996"/>
        </a:xfrm>
        <a:prstGeom prst="diamond">
          <a:avLst/>
        </a:prstGeom>
        <a:solidFill>
          <a:srgbClr val="FF0000">
            <a:alpha val="85000"/>
          </a:srgb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23</xdr:col>
      <xdr:colOff>317500</xdr:colOff>
      <xdr:row>125</xdr:row>
      <xdr:rowOff>0</xdr:rowOff>
    </xdr:from>
    <xdr:to>
      <xdr:col>26</xdr:col>
      <xdr:colOff>719667</xdr:colOff>
      <xdr:row>126</xdr:row>
      <xdr:rowOff>10618</xdr:rowOff>
    </xdr:to>
    <xdr:sp macro="" textlink="">
      <xdr:nvSpPr>
        <xdr:cNvPr id="15" name="Eingekerbter Richtungspfeil 21">
          <a:extLst>
            <a:ext uri="{FF2B5EF4-FFF2-40B4-BE49-F238E27FC236}">
              <a16:creationId xmlns:a16="http://schemas.microsoft.com/office/drawing/2014/main" id="{2F0A4220-945E-4FB6-BCB5-30E98ECEA8B3}"/>
            </a:ext>
          </a:extLst>
        </xdr:cNvPr>
        <xdr:cNvSpPr/>
      </xdr:nvSpPr>
      <xdr:spPr>
        <a:xfrm>
          <a:off x="15409333" y="22161500"/>
          <a:ext cx="1608667" cy="243451"/>
        </a:xfrm>
        <a:prstGeom prst="chevron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>
            <a:solidFill>
              <a:schemeClr val="tx1"/>
            </a:solidFill>
          </a:endParaRPr>
        </a:p>
      </xdr:txBody>
    </xdr:sp>
    <xdr:clientData/>
  </xdr:twoCellAnchor>
  <xdr:twoCellAnchor>
    <xdr:from>
      <xdr:col>20</xdr:col>
      <xdr:colOff>423333</xdr:colOff>
      <xdr:row>112</xdr:row>
      <xdr:rowOff>95250</xdr:rowOff>
    </xdr:from>
    <xdr:to>
      <xdr:col>23</xdr:col>
      <xdr:colOff>181832</xdr:colOff>
      <xdr:row>113</xdr:row>
      <xdr:rowOff>236376</xdr:rowOff>
    </xdr:to>
    <xdr:sp macro="" textlink="">
      <xdr:nvSpPr>
        <xdr:cNvPr id="16" name="Raute 15">
          <a:extLst>
            <a:ext uri="{FF2B5EF4-FFF2-40B4-BE49-F238E27FC236}">
              <a16:creationId xmlns:a16="http://schemas.microsoft.com/office/drawing/2014/main" id="{4C28FB8F-EFC5-4D9A-9130-AEE69E22BFD0}"/>
            </a:ext>
          </a:extLst>
        </xdr:cNvPr>
        <xdr:cNvSpPr/>
      </xdr:nvSpPr>
      <xdr:spPr>
        <a:xfrm>
          <a:off x="14933083" y="20965583"/>
          <a:ext cx="340582" cy="352793"/>
        </a:xfrm>
        <a:prstGeom prst="diamond">
          <a:avLst/>
        </a:prstGeom>
        <a:solidFill>
          <a:srgbClr val="FF0000">
            <a:alpha val="85000"/>
          </a:srgb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402166</xdr:colOff>
      <xdr:row>88</xdr:row>
      <xdr:rowOff>84667</xdr:rowOff>
    </xdr:from>
    <xdr:to>
      <xdr:col>17</xdr:col>
      <xdr:colOff>160665</xdr:colOff>
      <xdr:row>89</xdr:row>
      <xdr:rowOff>225792</xdr:rowOff>
    </xdr:to>
    <xdr:sp macro="" textlink="">
      <xdr:nvSpPr>
        <xdr:cNvPr id="18" name="Raute 17">
          <a:extLst>
            <a:ext uri="{FF2B5EF4-FFF2-40B4-BE49-F238E27FC236}">
              <a16:creationId xmlns:a16="http://schemas.microsoft.com/office/drawing/2014/main" id="{EBF2D648-A1D9-4AFB-82B2-A0D88770CD07}"/>
            </a:ext>
          </a:extLst>
        </xdr:cNvPr>
        <xdr:cNvSpPr/>
      </xdr:nvSpPr>
      <xdr:spPr>
        <a:xfrm>
          <a:off x="12583583" y="16848667"/>
          <a:ext cx="340582" cy="352792"/>
        </a:xfrm>
        <a:prstGeom prst="diamond">
          <a:avLst/>
        </a:prstGeom>
        <a:solidFill>
          <a:srgbClr val="FF0000">
            <a:alpha val="85000"/>
          </a:srgb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27</xdr:col>
      <xdr:colOff>10583</xdr:colOff>
      <xdr:row>124</xdr:row>
      <xdr:rowOff>211667</xdr:rowOff>
    </xdr:from>
    <xdr:to>
      <xdr:col>27</xdr:col>
      <xdr:colOff>348516</xdr:colOff>
      <xdr:row>126</xdr:row>
      <xdr:rowOff>67996</xdr:rowOff>
    </xdr:to>
    <xdr:sp macro="" textlink="">
      <xdr:nvSpPr>
        <xdr:cNvPr id="20" name="Raute 19">
          <a:extLst>
            <a:ext uri="{FF2B5EF4-FFF2-40B4-BE49-F238E27FC236}">
              <a16:creationId xmlns:a16="http://schemas.microsoft.com/office/drawing/2014/main" id="{7FADB9CF-1955-4AD6-AD98-079F7DD3382E}"/>
            </a:ext>
          </a:extLst>
        </xdr:cNvPr>
        <xdr:cNvSpPr/>
      </xdr:nvSpPr>
      <xdr:spPr>
        <a:xfrm>
          <a:off x="17430750" y="26564167"/>
          <a:ext cx="337933" cy="321996"/>
        </a:xfrm>
        <a:prstGeom prst="diamond">
          <a:avLst/>
        </a:prstGeom>
        <a:solidFill>
          <a:srgbClr val="FF0000">
            <a:alpha val="85000"/>
          </a:srgb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AT356"/>
  <sheetViews>
    <sheetView showGridLines="0" tabSelected="1" zoomScale="90" zoomScaleNormal="90" workbookViewId="0">
      <pane xSplit="5" ySplit="8" topLeftCell="F42" activePane="bottomRight" state="frozen"/>
      <selection pane="topRight" activeCell="F1" sqref="F1"/>
      <selection pane="bottomLeft" activeCell="A8" sqref="A8"/>
      <selection pane="bottomRight" activeCell="AE121" sqref="AE121"/>
    </sheetView>
  </sheetViews>
  <sheetFormatPr baseColWidth="10" defaultColWidth="11.42578125" defaultRowHeight="12.75" x14ac:dyDescent="0.2"/>
  <cols>
    <col min="1" max="1" width="1.140625" style="82" customWidth="1"/>
    <col min="2" max="2" width="0.85546875" style="81" customWidth="1"/>
    <col min="3" max="3" width="70" style="82" customWidth="1"/>
    <col min="4" max="5" width="7.42578125" style="83" customWidth="1"/>
    <col min="6" max="6" width="8.5703125" style="82" customWidth="1"/>
    <col min="7" max="21" width="8.7109375" style="82" customWidth="1"/>
    <col min="22" max="22" width="6.85546875" style="84" hidden="1" customWidth="1"/>
    <col min="23" max="23" width="6" style="84" hidden="1" customWidth="1"/>
    <col min="24" max="26" width="8.7109375" style="84" customWidth="1"/>
    <col min="27" max="27" width="8.7109375" style="82" customWidth="1"/>
    <col min="28" max="29" width="6.7109375" style="82" customWidth="1"/>
    <col min="30" max="30" width="12.85546875" style="82" customWidth="1"/>
    <col min="31" max="31" width="9.85546875" style="82" bestFit="1" customWidth="1"/>
    <col min="32" max="32" width="9.140625" style="82" customWidth="1"/>
    <col min="33" max="33" width="3.42578125" style="82" customWidth="1"/>
    <col min="34" max="44" width="0" style="82" hidden="1" customWidth="1"/>
    <col min="45" max="16384" width="11.42578125" style="82"/>
  </cols>
  <sheetData>
    <row r="1" spans="2:28" s="33" customFormat="1" ht="16.5" thickBot="1" x14ac:dyDescent="0.25">
      <c r="B1" s="34"/>
      <c r="C1" s="106" t="s">
        <v>0</v>
      </c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35"/>
      <c r="W1" s="35"/>
      <c r="X1" s="35"/>
      <c r="Y1" s="35"/>
      <c r="Z1" s="35"/>
    </row>
    <row r="2" spans="2:28" s="36" customFormat="1" ht="16.5" thickTop="1" thickBot="1" x14ac:dyDescent="0.25">
      <c r="B2" s="37"/>
      <c r="C2" s="38"/>
      <c r="D2" s="39"/>
      <c r="E2" s="40"/>
      <c r="F2" s="121" t="s">
        <v>1</v>
      </c>
      <c r="G2" s="121"/>
      <c r="H2" s="121"/>
      <c r="I2" s="121"/>
      <c r="J2" s="121" t="s">
        <v>2</v>
      </c>
      <c r="K2" s="121"/>
      <c r="L2" s="121"/>
      <c r="M2" s="121"/>
      <c r="N2" s="121" t="s">
        <v>3</v>
      </c>
      <c r="O2" s="121"/>
      <c r="P2" s="121"/>
      <c r="Q2" s="121"/>
      <c r="R2" s="121" t="s">
        <v>4</v>
      </c>
      <c r="S2" s="121"/>
      <c r="T2" s="121"/>
      <c r="U2" s="121"/>
      <c r="V2" s="41"/>
      <c r="W2" s="41"/>
      <c r="X2" s="121" t="s">
        <v>64</v>
      </c>
      <c r="Y2" s="121"/>
      <c r="Z2" s="121"/>
      <c r="AA2" s="121"/>
      <c r="AB2" s="91"/>
    </row>
    <row r="3" spans="2:28" s="42" customFormat="1" ht="17.25" thickTop="1" thickBot="1" x14ac:dyDescent="0.3">
      <c r="B3" s="43"/>
      <c r="C3" s="38"/>
      <c r="D3" s="39"/>
      <c r="E3" s="40"/>
      <c r="F3" s="130">
        <v>46084</v>
      </c>
      <c r="G3" s="131"/>
      <c r="H3" s="131"/>
      <c r="I3" s="131"/>
      <c r="J3" s="130">
        <v>46091</v>
      </c>
      <c r="K3" s="131"/>
      <c r="L3" s="131"/>
      <c r="M3" s="131"/>
      <c r="N3" s="130">
        <v>46098</v>
      </c>
      <c r="O3" s="131"/>
      <c r="P3" s="131"/>
      <c r="Q3" s="131"/>
      <c r="R3" s="130">
        <v>46105</v>
      </c>
      <c r="S3" s="131"/>
      <c r="T3" s="131"/>
      <c r="U3" s="131"/>
      <c r="V3" s="44"/>
      <c r="W3" s="44"/>
      <c r="X3" s="130">
        <v>46112</v>
      </c>
      <c r="Y3" s="131"/>
      <c r="Z3" s="131"/>
      <c r="AA3" s="131"/>
      <c r="AB3" s="92"/>
    </row>
    <row r="4" spans="2:28" s="42" customFormat="1" ht="17.25" thickTop="1" thickBot="1" x14ac:dyDescent="0.3">
      <c r="B4" s="43"/>
      <c r="C4" s="110" t="s">
        <v>5</v>
      </c>
      <c r="D4" s="110"/>
      <c r="E4" s="111"/>
      <c r="F4" s="122">
        <f>SUM(D10:D37)</f>
        <v>8</v>
      </c>
      <c r="G4" s="123"/>
      <c r="H4" s="123"/>
      <c r="I4" s="123"/>
      <c r="J4" s="122">
        <f>SUM(D40:D62)</f>
        <v>8</v>
      </c>
      <c r="K4" s="123"/>
      <c r="L4" s="123"/>
      <c r="M4" s="123"/>
      <c r="N4" s="122">
        <f>SUM(D66:D89)</f>
        <v>7.9999999999999991</v>
      </c>
      <c r="O4" s="123"/>
      <c r="P4" s="123"/>
      <c r="Q4" s="123"/>
      <c r="R4" s="122">
        <f>SUM(D92:D113)</f>
        <v>8</v>
      </c>
      <c r="S4" s="123"/>
      <c r="T4" s="123"/>
      <c r="U4" s="123"/>
      <c r="V4" s="45"/>
      <c r="W4" s="44"/>
      <c r="X4" s="122">
        <f>SUM(D116:D119)</f>
        <v>2.25</v>
      </c>
      <c r="Y4" s="123"/>
      <c r="Z4" s="123"/>
      <c r="AA4" s="123"/>
      <c r="AB4" s="92"/>
    </row>
    <row r="5" spans="2:28" s="42" customFormat="1" ht="17.25" thickTop="1" thickBot="1" x14ac:dyDescent="0.3">
      <c r="B5" s="43"/>
      <c r="C5" s="110" t="s">
        <v>6</v>
      </c>
      <c r="D5" s="110"/>
      <c r="E5" s="111"/>
      <c r="F5" s="113">
        <f>SUM(E10:E37)</f>
        <v>8.35</v>
      </c>
      <c r="G5" s="114"/>
      <c r="H5" s="114"/>
      <c r="I5" s="114"/>
      <c r="J5" s="113">
        <f>SUM(E40:E63)</f>
        <v>7.7</v>
      </c>
      <c r="K5" s="114"/>
      <c r="L5" s="114"/>
      <c r="M5" s="114"/>
      <c r="N5" s="113">
        <f>SUM(E66:E89)</f>
        <v>8.15</v>
      </c>
      <c r="O5" s="114"/>
      <c r="P5" s="114"/>
      <c r="Q5" s="114"/>
      <c r="R5" s="113">
        <f>SUM(E92:E113)</f>
        <v>8.1000000000000014</v>
      </c>
      <c r="S5" s="114"/>
      <c r="T5" s="114"/>
      <c r="U5" s="114"/>
      <c r="V5" s="45"/>
      <c r="W5" s="44"/>
      <c r="X5" s="113">
        <f>SUM(E116:E119)</f>
        <v>2</v>
      </c>
      <c r="Y5" s="114"/>
      <c r="Z5" s="114"/>
      <c r="AA5" s="114"/>
      <c r="AB5" s="92"/>
    </row>
    <row r="6" spans="2:28" s="42" customFormat="1" ht="17.25" thickTop="1" thickBot="1" x14ac:dyDescent="0.3">
      <c r="B6" s="43"/>
      <c r="C6" s="38" t="s">
        <v>7</v>
      </c>
      <c r="D6" s="101"/>
      <c r="E6" s="102"/>
      <c r="F6" s="103"/>
      <c r="G6" s="104"/>
      <c r="H6" s="104"/>
      <c r="I6" s="105"/>
      <c r="J6" s="103"/>
      <c r="K6" s="104"/>
      <c r="L6" s="104"/>
      <c r="M6" s="105"/>
      <c r="N6" s="103"/>
      <c r="O6" s="104"/>
      <c r="P6" s="104"/>
      <c r="Q6" s="104"/>
      <c r="R6" s="103"/>
      <c r="S6" s="104"/>
      <c r="T6" s="104"/>
      <c r="U6" s="104"/>
      <c r="V6" s="45"/>
      <c r="W6" s="44"/>
      <c r="X6" s="103"/>
      <c r="Y6" s="104"/>
      <c r="Z6" s="104"/>
      <c r="AA6" s="104"/>
      <c r="AB6" s="92"/>
    </row>
    <row r="7" spans="2:28" s="42" customFormat="1" ht="17.25" thickTop="1" thickBot="1" x14ac:dyDescent="0.3">
      <c r="B7" s="43"/>
      <c r="C7" s="46" t="s">
        <v>8</v>
      </c>
      <c r="D7" s="118" t="s">
        <v>9</v>
      </c>
      <c r="E7" s="119"/>
      <c r="F7" s="107">
        <f>F4-F5</f>
        <v>-0.34999999999999964</v>
      </c>
      <c r="G7" s="108"/>
      <c r="H7" s="108"/>
      <c r="I7" s="109"/>
      <c r="J7" s="107">
        <f t="shared" ref="J7" si="0">J4-J5</f>
        <v>0.29999999999999982</v>
      </c>
      <c r="K7" s="108"/>
      <c r="L7" s="108"/>
      <c r="M7" s="109"/>
      <c r="N7" s="107">
        <f t="shared" ref="N7" si="1">N4-N5</f>
        <v>-0.15000000000000124</v>
      </c>
      <c r="O7" s="108"/>
      <c r="P7" s="108"/>
      <c r="Q7" s="108"/>
      <c r="R7" s="107">
        <f t="shared" ref="R7" si="2">R4-R5</f>
        <v>-0.10000000000000142</v>
      </c>
      <c r="S7" s="108"/>
      <c r="T7" s="108"/>
      <c r="U7" s="108"/>
      <c r="X7" s="107">
        <f t="shared" ref="X7" si="3">X4-X5</f>
        <v>0.25</v>
      </c>
      <c r="Y7" s="108"/>
      <c r="Z7" s="108"/>
      <c r="AA7" s="108"/>
      <c r="AB7" s="92"/>
    </row>
    <row r="8" spans="2:28" s="42" customFormat="1" ht="16.5" thickBot="1" x14ac:dyDescent="0.3">
      <c r="B8" s="43"/>
      <c r="C8" s="48"/>
      <c r="D8" s="49" t="s">
        <v>10</v>
      </c>
      <c r="E8" s="49" t="s">
        <v>11</v>
      </c>
      <c r="F8" s="50"/>
      <c r="G8" s="50"/>
      <c r="H8" s="50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X8" s="47"/>
      <c r="Y8" s="47"/>
      <c r="Z8" s="47"/>
      <c r="AA8" s="47"/>
      <c r="AB8" s="92"/>
    </row>
    <row r="9" spans="2:28" s="33" customFormat="1" ht="18.75" thickBot="1" x14ac:dyDescent="0.3">
      <c r="B9" s="51"/>
      <c r="C9" s="52" t="s">
        <v>12</v>
      </c>
      <c r="D9" s="53"/>
      <c r="E9" s="54"/>
      <c r="F9" s="100"/>
      <c r="G9" s="1"/>
      <c r="H9" s="1"/>
      <c r="I9" s="2"/>
      <c r="J9" s="3"/>
      <c r="K9" s="4"/>
      <c r="L9" s="5"/>
      <c r="M9" s="6"/>
      <c r="N9" s="3"/>
      <c r="O9" s="4"/>
      <c r="P9" s="5"/>
      <c r="Q9" s="6"/>
      <c r="R9" s="3"/>
      <c r="S9" s="4"/>
      <c r="T9" s="5"/>
      <c r="U9" s="6"/>
      <c r="V9" s="55"/>
      <c r="W9" s="55"/>
      <c r="X9" s="3"/>
      <c r="Y9" s="4"/>
      <c r="Z9" s="5"/>
      <c r="AA9" s="6"/>
    </row>
    <row r="10" spans="2:28" s="33" customFormat="1" ht="17.25" customHeight="1" thickBot="1" x14ac:dyDescent="0.3">
      <c r="B10" s="34"/>
      <c r="C10" s="112" t="s">
        <v>13</v>
      </c>
      <c r="D10" s="56">
        <f>SUM(F10:I10)</f>
        <v>1</v>
      </c>
      <c r="E10" s="56"/>
      <c r="F10" s="7">
        <v>1</v>
      </c>
      <c r="G10" s="8"/>
      <c r="H10" s="8"/>
      <c r="I10" s="9"/>
      <c r="J10" s="10"/>
      <c r="K10" s="8"/>
      <c r="L10" s="8"/>
      <c r="M10" s="9"/>
      <c r="N10" s="10"/>
      <c r="O10" s="8"/>
      <c r="P10" s="8"/>
      <c r="Q10" s="9"/>
      <c r="R10" s="10"/>
      <c r="S10" s="8"/>
      <c r="T10" s="8"/>
      <c r="U10" s="9"/>
      <c r="X10" s="10"/>
      <c r="Y10" s="8"/>
      <c r="Z10" s="8"/>
      <c r="AA10" s="9"/>
    </row>
    <row r="11" spans="2:28" s="33" customFormat="1" ht="17.25" customHeight="1" thickBot="1" x14ac:dyDescent="0.3">
      <c r="B11" s="34"/>
      <c r="C11" s="112"/>
      <c r="D11" s="57"/>
      <c r="E11" s="57">
        <f>SUM(F11:U11)</f>
        <v>0.75</v>
      </c>
      <c r="F11" s="94">
        <v>0.75</v>
      </c>
      <c r="G11" s="8"/>
      <c r="H11" s="8"/>
      <c r="I11" s="9"/>
      <c r="J11" s="10"/>
      <c r="K11" s="8"/>
      <c r="L11" s="8"/>
      <c r="M11" s="9"/>
      <c r="N11" s="10"/>
      <c r="O11" s="8"/>
      <c r="P11" s="8"/>
      <c r="Q11" s="9"/>
      <c r="R11" s="10"/>
      <c r="S11" s="8"/>
      <c r="T11" s="8"/>
      <c r="U11" s="9"/>
      <c r="X11" s="10"/>
      <c r="Y11" s="8"/>
      <c r="Z11" s="8"/>
      <c r="AA11" s="9"/>
    </row>
    <row r="12" spans="2:28" s="33" customFormat="1" ht="16.5" thickBot="1" x14ac:dyDescent="0.3">
      <c r="B12" s="34"/>
      <c r="C12" s="112" t="s">
        <v>14</v>
      </c>
      <c r="D12" s="56">
        <f>SUM(F12:U12)</f>
        <v>1</v>
      </c>
      <c r="E12" s="56"/>
      <c r="F12" s="10"/>
      <c r="G12" s="11">
        <v>1</v>
      </c>
      <c r="H12" s="8"/>
      <c r="I12" s="9"/>
      <c r="J12" s="10"/>
      <c r="K12" s="8"/>
      <c r="L12" s="8"/>
      <c r="M12" s="9"/>
      <c r="N12" s="10"/>
      <c r="O12" s="8"/>
      <c r="P12" s="8"/>
      <c r="Q12" s="9"/>
      <c r="R12" s="10"/>
      <c r="S12" s="8"/>
      <c r="T12" s="8"/>
      <c r="U12" s="9"/>
      <c r="X12" s="10"/>
      <c r="Y12" s="8"/>
      <c r="Z12" s="8"/>
      <c r="AA12" s="9"/>
    </row>
    <row r="13" spans="2:28" s="33" customFormat="1" ht="16.5" thickBot="1" x14ac:dyDescent="0.3">
      <c r="B13" s="34"/>
      <c r="C13" s="112"/>
      <c r="D13" s="57"/>
      <c r="E13" s="57">
        <f>SUM(F13:U13)</f>
        <v>0.75</v>
      </c>
      <c r="F13" s="10"/>
      <c r="G13" s="95">
        <v>0.75</v>
      </c>
      <c r="H13" s="8"/>
      <c r="I13" s="9"/>
      <c r="J13" s="10"/>
      <c r="K13" s="8"/>
      <c r="L13" s="8"/>
      <c r="M13" s="9"/>
      <c r="N13" s="10"/>
      <c r="O13" s="8"/>
      <c r="P13" s="8"/>
      <c r="Q13" s="9"/>
      <c r="R13" s="10"/>
      <c r="S13" s="8"/>
      <c r="T13" s="8"/>
      <c r="U13" s="9"/>
      <c r="X13" s="10"/>
      <c r="Y13" s="8"/>
      <c r="Z13" s="8"/>
      <c r="AA13" s="9"/>
    </row>
    <row r="14" spans="2:28" s="33" customFormat="1" ht="16.5" thickBot="1" x14ac:dyDescent="0.3">
      <c r="B14" s="34"/>
      <c r="C14" s="112" t="s">
        <v>15</v>
      </c>
      <c r="D14" s="56">
        <f>SUM(F14:U14)</f>
        <v>0.5</v>
      </c>
      <c r="E14" s="56"/>
      <c r="F14" s="10"/>
      <c r="G14" s="8"/>
      <c r="H14" s="11">
        <v>0.5</v>
      </c>
      <c r="I14" s="9"/>
      <c r="J14" s="10"/>
      <c r="K14" s="8"/>
      <c r="L14" s="8"/>
      <c r="M14" s="9"/>
      <c r="N14" s="10"/>
      <c r="O14" s="8"/>
      <c r="P14" s="8"/>
      <c r="Q14" s="9"/>
      <c r="R14" s="10"/>
      <c r="S14" s="8"/>
      <c r="T14" s="8"/>
      <c r="U14" s="9"/>
      <c r="X14" s="10"/>
      <c r="Y14" s="8"/>
      <c r="Z14" s="8"/>
      <c r="AA14" s="9"/>
    </row>
    <row r="15" spans="2:28" s="33" customFormat="1" ht="16.5" thickBot="1" x14ac:dyDescent="0.3">
      <c r="B15" s="34"/>
      <c r="C15" s="112"/>
      <c r="D15" s="57"/>
      <c r="E15" s="57">
        <f>SUM(F15:U15)</f>
        <v>0.4</v>
      </c>
      <c r="F15" s="10"/>
      <c r="G15" s="8"/>
      <c r="H15" s="95">
        <v>0.4</v>
      </c>
      <c r="I15" s="9"/>
      <c r="J15" s="10"/>
      <c r="K15" s="8"/>
      <c r="L15" s="8"/>
      <c r="M15" s="9"/>
      <c r="N15" s="10"/>
      <c r="O15" s="8"/>
      <c r="P15" s="8"/>
      <c r="Q15" s="9"/>
      <c r="R15" s="10"/>
      <c r="S15" s="8"/>
      <c r="T15" s="8"/>
      <c r="U15" s="9"/>
      <c r="X15" s="10"/>
      <c r="Y15" s="8"/>
      <c r="Z15" s="8"/>
      <c r="AA15" s="9"/>
    </row>
    <row r="16" spans="2:28" s="33" customFormat="1" ht="16.5" thickBot="1" x14ac:dyDescent="0.3">
      <c r="B16" s="34"/>
      <c r="C16" s="112" t="s">
        <v>16</v>
      </c>
      <c r="D16" s="56">
        <f>SUM(F16:U16)</f>
        <v>0.5</v>
      </c>
      <c r="E16" s="56"/>
      <c r="F16" s="10"/>
      <c r="G16" s="8"/>
      <c r="H16" s="12">
        <v>0.5</v>
      </c>
      <c r="I16" s="9"/>
      <c r="J16" s="10"/>
      <c r="K16" s="8"/>
      <c r="L16" s="13"/>
      <c r="M16" s="9"/>
      <c r="N16" s="10"/>
      <c r="O16" s="8"/>
      <c r="P16" s="13"/>
      <c r="Q16" s="9"/>
      <c r="R16" s="10"/>
      <c r="S16" s="8"/>
      <c r="T16" s="13"/>
      <c r="U16" s="9"/>
      <c r="X16" s="10"/>
      <c r="Y16" s="8"/>
      <c r="Z16" s="13"/>
      <c r="AA16" s="9"/>
    </row>
    <row r="17" spans="2:27" s="33" customFormat="1" ht="16.5" thickBot="1" x14ac:dyDescent="0.3">
      <c r="B17" s="34"/>
      <c r="C17" s="112"/>
      <c r="D17" s="57"/>
      <c r="E17" s="57">
        <f>SUM(F17:U17)</f>
        <v>0.45</v>
      </c>
      <c r="F17" s="10"/>
      <c r="G17" s="8"/>
      <c r="H17" s="95">
        <v>0.45</v>
      </c>
      <c r="I17" s="9"/>
      <c r="J17" s="10"/>
      <c r="K17" s="8"/>
      <c r="L17" s="8"/>
      <c r="M17" s="9"/>
      <c r="N17" s="10"/>
      <c r="O17" s="8"/>
      <c r="P17" s="8"/>
      <c r="Q17" s="9"/>
      <c r="R17" s="10"/>
      <c r="S17" s="8"/>
      <c r="T17" s="8"/>
      <c r="U17" s="9"/>
      <c r="X17" s="10"/>
      <c r="Y17" s="8"/>
      <c r="Z17" s="8"/>
      <c r="AA17" s="9"/>
    </row>
    <row r="18" spans="2:27" s="33" customFormat="1" ht="16.5" thickBot="1" x14ac:dyDescent="0.3">
      <c r="B18" s="34"/>
      <c r="C18" s="112" t="s">
        <v>17</v>
      </c>
      <c r="D18" s="56">
        <f>SUM(F18:U18)</f>
        <v>0.5</v>
      </c>
      <c r="E18" s="56"/>
      <c r="F18" s="10"/>
      <c r="G18" s="8"/>
      <c r="H18" s="11">
        <v>0.5</v>
      </c>
      <c r="I18" s="9"/>
      <c r="J18" s="10"/>
      <c r="K18" s="8"/>
      <c r="L18" s="8"/>
      <c r="M18" s="9"/>
      <c r="N18" s="10"/>
      <c r="O18" s="8"/>
      <c r="P18" s="8"/>
      <c r="Q18" s="9"/>
      <c r="R18" s="10"/>
      <c r="S18" s="8"/>
      <c r="T18" s="8"/>
      <c r="U18" s="9"/>
      <c r="X18" s="10"/>
      <c r="Y18" s="8"/>
      <c r="Z18" s="8"/>
      <c r="AA18" s="9"/>
    </row>
    <row r="19" spans="2:27" s="33" customFormat="1" ht="16.5" thickBot="1" x14ac:dyDescent="0.3">
      <c r="B19" s="34"/>
      <c r="C19" s="112"/>
      <c r="D19" s="57"/>
      <c r="E19" s="57">
        <f>SUM(F19:U19)</f>
        <v>0.75</v>
      </c>
      <c r="F19" s="10"/>
      <c r="G19" s="8"/>
      <c r="H19" s="96">
        <v>0.75</v>
      </c>
      <c r="I19" s="9"/>
      <c r="J19" s="10"/>
      <c r="K19" s="8"/>
      <c r="L19" s="8"/>
      <c r="M19" s="9"/>
      <c r="N19" s="10"/>
      <c r="O19" s="8"/>
      <c r="P19" s="8"/>
      <c r="Q19" s="9"/>
      <c r="R19" s="10"/>
      <c r="S19" s="8"/>
      <c r="T19" s="8"/>
      <c r="U19" s="9"/>
      <c r="X19" s="10"/>
      <c r="Y19" s="8"/>
      <c r="Z19" s="8"/>
      <c r="AA19" s="9"/>
    </row>
    <row r="20" spans="2:27" s="33" customFormat="1" ht="16.5" thickBot="1" x14ac:dyDescent="0.3">
      <c r="B20" s="34"/>
      <c r="C20" s="112" t="s">
        <v>18</v>
      </c>
      <c r="D20" s="56">
        <f>SUM(F20:U20)</f>
        <v>0.5</v>
      </c>
      <c r="E20" s="56"/>
      <c r="F20" s="10"/>
      <c r="G20" s="8"/>
      <c r="H20" s="11">
        <v>0.5</v>
      </c>
      <c r="I20" s="9"/>
      <c r="J20" s="10"/>
      <c r="K20" s="8"/>
      <c r="L20" s="8"/>
      <c r="M20" s="9"/>
      <c r="N20" s="10"/>
      <c r="O20" s="8"/>
      <c r="P20" s="8"/>
      <c r="Q20" s="9"/>
      <c r="R20" s="10"/>
      <c r="S20" s="8"/>
      <c r="T20" s="8"/>
      <c r="U20" s="9"/>
      <c r="X20" s="10"/>
      <c r="Y20" s="8"/>
      <c r="Z20" s="8"/>
      <c r="AA20" s="9"/>
    </row>
    <row r="21" spans="2:27" s="33" customFormat="1" ht="16.5" customHeight="1" thickBot="1" x14ac:dyDescent="0.3">
      <c r="B21" s="34"/>
      <c r="C21" s="112"/>
      <c r="D21" s="57"/>
      <c r="E21" s="57">
        <f>SUM(F21:U21)</f>
        <v>0.75</v>
      </c>
      <c r="F21" s="10"/>
      <c r="G21" s="8"/>
      <c r="H21" s="96">
        <v>0.75</v>
      </c>
      <c r="I21" s="9"/>
      <c r="J21" s="10"/>
      <c r="K21" s="8"/>
      <c r="L21" s="8"/>
      <c r="M21" s="9"/>
      <c r="N21" s="10"/>
      <c r="O21" s="8"/>
      <c r="P21" s="8"/>
      <c r="Q21" s="9"/>
      <c r="R21" s="10"/>
      <c r="S21" s="8"/>
      <c r="T21" s="8"/>
      <c r="U21" s="9"/>
      <c r="X21" s="10"/>
      <c r="Y21" s="8"/>
      <c r="Z21" s="8"/>
      <c r="AA21" s="9"/>
    </row>
    <row r="22" spans="2:27" s="33" customFormat="1" ht="16.5" customHeight="1" thickBot="1" x14ac:dyDescent="0.3">
      <c r="B22" s="34"/>
      <c r="C22" s="112" t="s">
        <v>19</v>
      </c>
      <c r="D22" s="56">
        <f>SUM(F22:U22)</f>
        <v>0.5</v>
      </c>
      <c r="E22" s="56"/>
      <c r="F22" s="10"/>
      <c r="G22" s="8"/>
      <c r="H22" s="11">
        <v>0.5</v>
      </c>
      <c r="I22" s="9"/>
      <c r="J22" s="10"/>
      <c r="K22" s="8"/>
      <c r="L22" s="8"/>
      <c r="M22" s="9"/>
      <c r="N22" s="10"/>
      <c r="O22" s="8"/>
      <c r="P22" s="8"/>
      <c r="Q22" s="9"/>
      <c r="R22" s="10"/>
      <c r="S22" s="8"/>
      <c r="T22" s="8"/>
      <c r="U22" s="9"/>
      <c r="X22" s="10"/>
      <c r="Y22" s="8"/>
      <c r="Z22" s="8"/>
      <c r="AA22" s="9"/>
    </row>
    <row r="23" spans="2:27" s="33" customFormat="1" ht="16.5" thickBot="1" x14ac:dyDescent="0.3">
      <c r="B23" s="34"/>
      <c r="C23" s="112"/>
      <c r="D23" s="57"/>
      <c r="E23" s="57">
        <f>SUM(F23:U23)</f>
        <v>0.6</v>
      </c>
      <c r="F23" s="10"/>
      <c r="G23" s="8"/>
      <c r="H23" s="96">
        <v>0.6</v>
      </c>
      <c r="I23" s="9"/>
      <c r="J23" s="10"/>
      <c r="K23" s="8"/>
      <c r="L23" s="8"/>
      <c r="M23" s="9"/>
      <c r="N23" s="10"/>
      <c r="O23" s="8"/>
      <c r="P23" s="8"/>
      <c r="Q23" s="9"/>
      <c r="R23" s="10"/>
      <c r="S23" s="8"/>
      <c r="T23" s="8"/>
      <c r="U23" s="9"/>
      <c r="X23" s="10"/>
      <c r="Y23" s="8"/>
      <c r="Z23" s="8"/>
      <c r="AA23" s="9"/>
    </row>
    <row r="24" spans="2:27" s="33" customFormat="1" ht="16.5" thickBot="1" x14ac:dyDescent="0.3">
      <c r="B24" s="34"/>
      <c r="C24" s="112" t="s">
        <v>20</v>
      </c>
      <c r="D24" s="56">
        <f>SUM(F24:U24)</f>
        <v>0.25</v>
      </c>
      <c r="E24" s="56"/>
      <c r="F24" s="10"/>
      <c r="G24" s="8"/>
      <c r="H24" s="11">
        <v>0.25</v>
      </c>
      <c r="I24" s="9"/>
      <c r="J24" s="10"/>
      <c r="K24" s="8"/>
      <c r="L24" s="8"/>
      <c r="M24" s="9"/>
      <c r="N24" s="10"/>
      <c r="O24" s="8"/>
      <c r="P24" s="8"/>
      <c r="Q24" s="9"/>
      <c r="R24" s="10"/>
      <c r="S24" s="8"/>
      <c r="T24" s="8"/>
      <c r="U24" s="9"/>
      <c r="X24" s="10"/>
      <c r="Y24" s="8"/>
      <c r="Z24" s="8"/>
      <c r="AA24" s="9"/>
    </row>
    <row r="25" spans="2:27" s="33" customFormat="1" ht="16.5" thickBot="1" x14ac:dyDescent="0.3">
      <c r="B25" s="34"/>
      <c r="C25" s="112"/>
      <c r="D25" s="57"/>
      <c r="E25" s="57">
        <f>SUM(F25:U25)</f>
        <v>0.5</v>
      </c>
      <c r="F25" s="10"/>
      <c r="G25" s="8"/>
      <c r="H25" s="96">
        <v>0.5</v>
      </c>
      <c r="I25" s="9"/>
      <c r="J25" s="10"/>
      <c r="K25" s="8"/>
      <c r="L25" s="8"/>
      <c r="M25" s="9"/>
      <c r="N25" s="10"/>
      <c r="O25" s="8"/>
      <c r="P25" s="8"/>
      <c r="Q25" s="9"/>
      <c r="R25" s="10"/>
      <c r="S25" s="8"/>
      <c r="T25" s="8"/>
      <c r="U25" s="9"/>
      <c r="X25" s="10"/>
      <c r="Y25" s="8"/>
      <c r="Z25" s="8"/>
      <c r="AA25" s="9"/>
    </row>
    <row r="26" spans="2:27" s="33" customFormat="1" ht="16.5" thickBot="1" x14ac:dyDescent="0.3">
      <c r="B26" s="34"/>
      <c r="C26" s="112" t="s">
        <v>21</v>
      </c>
      <c r="D26" s="56">
        <f>SUM(F26:U26)</f>
        <v>0.4</v>
      </c>
      <c r="E26" s="56"/>
      <c r="F26" s="10"/>
      <c r="G26" s="8"/>
      <c r="H26" s="11">
        <v>0.4</v>
      </c>
      <c r="I26" s="9"/>
      <c r="J26" s="10"/>
      <c r="K26" s="8"/>
      <c r="L26" s="8"/>
      <c r="M26" s="9"/>
      <c r="N26" s="10"/>
      <c r="O26" s="8"/>
      <c r="P26" s="8"/>
      <c r="Q26" s="9"/>
      <c r="R26" s="10"/>
      <c r="S26" s="8"/>
      <c r="T26" s="8"/>
      <c r="U26" s="9"/>
      <c r="X26" s="10"/>
      <c r="Y26" s="8"/>
      <c r="Z26" s="8"/>
      <c r="AA26" s="9"/>
    </row>
    <row r="27" spans="2:27" s="33" customFormat="1" ht="16.5" thickBot="1" x14ac:dyDescent="0.3">
      <c r="B27" s="34"/>
      <c r="C27" s="112"/>
      <c r="D27" s="57"/>
      <c r="E27" s="57">
        <f>SUM(F27:U27)</f>
        <v>0.3</v>
      </c>
      <c r="F27" s="10"/>
      <c r="G27" s="8"/>
      <c r="H27" s="96">
        <v>0.3</v>
      </c>
      <c r="I27" s="9"/>
      <c r="J27" s="10"/>
      <c r="K27" s="8"/>
      <c r="L27" s="8"/>
      <c r="M27" s="9"/>
      <c r="N27" s="10"/>
      <c r="O27" s="8"/>
      <c r="P27" s="8"/>
      <c r="Q27" s="9"/>
      <c r="R27" s="10"/>
      <c r="S27" s="8"/>
      <c r="T27" s="8"/>
      <c r="U27" s="9"/>
      <c r="X27" s="10"/>
      <c r="Y27" s="8"/>
      <c r="Z27" s="8"/>
      <c r="AA27" s="9"/>
    </row>
    <row r="28" spans="2:27" s="33" customFormat="1" ht="16.5" thickBot="1" x14ac:dyDescent="0.3">
      <c r="B28" s="34"/>
      <c r="C28" s="112" t="s">
        <v>22</v>
      </c>
      <c r="D28" s="56">
        <f>SUM(F28:U28)</f>
        <v>0.3</v>
      </c>
      <c r="E28" s="56"/>
      <c r="F28" s="10"/>
      <c r="G28" s="8"/>
      <c r="H28" s="11">
        <v>0.3</v>
      </c>
      <c r="I28" s="9"/>
      <c r="J28" s="10"/>
      <c r="K28" s="8"/>
      <c r="L28" s="8"/>
      <c r="M28" s="9"/>
      <c r="N28" s="10"/>
      <c r="O28" s="8"/>
      <c r="P28" s="8"/>
      <c r="Q28" s="9"/>
      <c r="R28" s="10"/>
      <c r="S28" s="8"/>
      <c r="T28" s="8"/>
      <c r="U28" s="9"/>
      <c r="X28" s="10"/>
      <c r="Y28" s="8"/>
      <c r="Z28" s="8"/>
      <c r="AA28" s="9"/>
    </row>
    <row r="29" spans="2:27" s="33" customFormat="1" ht="16.5" thickBot="1" x14ac:dyDescent="0.3">
      <c r="B29" s="34"/>
      <c r="C29" s="112"/>
      <c r="D29" s="57"/>
      <c r="E29" s="57">
        <f>SUM(F29:U29)</f>
        <v>0.25</v>
      </c>
      <c r="F29" s="10"/>
      <c r="G29" s="8"/>
      <c r="H29" s="96">
        <v>0.25</v>
      </c>
      <c r="I29" s="9"/>
      <c r="J29" s="10"/>
      <c r="K29" s="8"/>
      <c r="L29" s="8"/>
      <c r="M29" s="9"/>
      <c r="N29" s="10"/>
      <c r="O29" s="8"/>
      <c r="P29" s="8"/>
      <c r="Q29" s="9"/>
      <c r="R29" s="10"/>
      <c r="S29" s="8"/>
      <c r="T29" s="8"/>
      <c r="U29" s="9"/>
      <c r="X29" s="10"/>
      <c r="Y29" s="8"/>
      <c r="Z29" s="8"/>
      <c r="AA29" s="9"/>
    </row>
    <row r="30" spans="2:27" s="33" customFormat="1" ht="16.5" thickBot="1" x14ac:dyDescent="0.3">
      <c r="B30" s="34"/>
      <c r="C30" s="112" t="s">
        <v>23</v>
      </c>
      <c r="D30" s="56">
        <f>SUM(F30:U30)</f>
        <v>1.5</v>
      </c>
      <c r="E30" s="56"/>
      <c r="F30" s="10"/>
      <c r="G30" s="8"/>
      <c r="H30" s="11">
        <v>1.5</v>
      </c>
      <c r="I30" s="9"/>
      <c r="J30" s="10"/>
      <c r="K30" s="8"/>
      <c r="L30" s="8"/>
      <c r="M30" s="9"/>
      <c r="N30" s="10"/>
      <c r="O30" s="8"/>
      <c r="P30" s="8"/>
      <c r="Q30" s="9"/>
      <c r="R30" s="10"/>
      <c r="S30" s="8"/>
      <c r="T30" s="8"/>
      <c r="U30" s="9"/>
      <c r="X30" s="10"/>
      <c r="Y30" s="8"/>
      <c r="Z30" s="8"/>
      <c r="AA30" s="9"/>
    </row>
    <row r="31" spans="2:27" s="33" customFormat="1" ht="16.5" thickBot="1" x14ac:dyDescent="0.3">
      <c r="B31" s="34"/>
      <c r="C31" s="112"/>
      <c r="D31" s="57"/>
      <c r="E31" s="57">
        <f>SUM(F31:U31)</f>
        <v>1.6</v>
      </c>
      <c r="F31" s="10"/>
      <c r="G31" s="8"/>
      <c r="H31" s="96">
        <v>1.6</v>
      </c>
      <c r="I31" s="9"/>
      <c r="J31" s="10"/>
      <c r="K31" s="8"/>
      <c r="L31" s="8"/>
      <c r="M31" s="9"/>
      <c r="N31" s="10"/>
      <c r="O31" s="8"/>
      <c r="P31" s="8"/>
      <c r="Q31" s="9"/>
      <c r="R31" s="10"/>
      <c r="S31" s="8"/>
      <c r="T31" s="8"/>
      <c r="U31" s="9"/>
      <c r="X31" s="10"/>
      <c r="Y31" s="8"/>
      <c r="Z31" s="8"/>
      <c r="AA31" s="9"/>
    </row>
    <row r="32" spans="2:27" s="33" customFormat="1" ht="16.5" thickBot="1" x14ac:dyDescent="0.3">
      <c r="B32" s="34"/>
      <c r="C32" s="112" t="s">
        <v>65</v>
      </c>
      <c r="D32" s="56">
        <f>SUM(F32:AA32)</f>
        <v>0.3</v>
      </c>
      <c r="E32" s="56"/>
      <c r="F32" s="10"/>
      <c r="G32" s="8"/>
      <c r="H32" s="11">
        <v>0.3</v>
      </c>
      <c r="I32" s="9"/>
      <c r="J32" s="10"/>
      <c r="K32" s="8"/>
      <c r="L32" s="8"/>
      <c r="M32" s="9"/>
      <c r="N32" s="10"/>
      <c r="O32" s="8"/>
      <c r="P32" s="8"/>
      <c r="Q32" s="9"/>
      <c r="R32" s="10"/>
      <c r="S32" s="8"/>
      <c r="T32" s="8"/>
      <c r="U32" s="9"/>
      <c r="X32" s="10"/>
      <c r="Y32" s="8"/>
      <c r="Z32" s="8"/>
      <c r="AA32" s="9"/>
    </row>
    <row r="33" spans="2:27" s="33" customFormat="1" ht="16.5" thickBot="1" x14ac:dyDescent="0.3">
      <c r="B33" s="34"/>
      <c r="C33" s="112"/>
      <c r="D33" s="57"/>
      <c r="E33" s="57">
        <f>SUM(F33:AA33)</f>
        <v>0.5</v>
      </c>
      <c r="F33" s="10"/>
      <c r="G33" s="8"/>
      <c r="H33" s="96">
        <v>0.5</v>
      </c>
      <c r="I33" s="9"/>
      <c r="J33" s="10"/>
      <c r="K33" s="8"/>
      <c r="L33" s="8"/>
      <c r="M33" s="9"/>
      <c r="N33" s="10"/>
      <c r="O33" s="8"/>
      <c r="P33" s="8"/>
      <c r="Q33" s="9"/>
      <c r="R33" s="10"/>
      <c r="S33" s="8"/>
      <c r="T33" s="8"/>
      <c r="U33" s="9"/>
      <c r="X33" s="10"/>
      <c r="Y33" s="8"/>
      <c r="Z33" s="8"/>
      <c r="AA33" s="9"/>
    </row>
    <row r="34" spans="2:27" s="33" customFormat="1" ht="16.5" thickBot="1" x14ac:dyDescent="0.3">
      <c r="B34" s="34"/>
      <c r="C34" s="112" t="s">
        <v>66</v>
      </c>
      <c r="D34" s="56">
        <f>SUM(F34:AA34)</f>
        <v>0.25</v>
      </c>
      <c r="E34" s="56"/>
      <c r="F34" s="10"/>
      <c r="G34" s="8"/>
      <c r="H34" s="11">
        <v>0.25</v>
      </c>
      <c r="I34" s="9"/>
      <c r="J34" s="10"/>
      <c r="K34" s="8"/>
      <c r="L34" s="8"/>
      <c r="M34" s="9"/>
      <c r="N34" s="10"/>
      <c r="O34" s="8"/>
      <c r="P34" s="8"/>
      <c r="Q34" s="9"/>
      <c r="R34" s="10"/>
      <c r="S34" s="8"/>
      <c r="T34" s="8"/>
      <c r="U34" s="9"/>
      <c r="X34" s="10"/>
      <c r="Y34" s="8"/>
      <c r="Z34" s="8"/>
      <c r="AA34" s="9"/>
    </row>
    <row r="35" spans="2:27" s="33" customFormat="1" ht="16.5" thickBot="1" x14ac:dyDescent="0.3">
      <c r="B35" s="34"/>
      <c r="C35" s="112"/>
      <c r="D35" s="57"/>
      <c r="E35" s="57">
        <f>SUM(F35:AA35)</f>
        <v>0.25</v>
      </c>
      <c r="F35" s="10"/>
      <c r="G35" s="8"/>
      <c r="H35" s="96">
        <v>0.25</v>
      </c>
      <c r="I35" s="9"/>
      <c r="J35" s="10"/>
      <c r="K35" s="8"/>
      <c r="L35" s="8"/>
      <c r="M35" s="9"/>
      <c r="N35" s="10"/>
      <c r="O35" s="8"/>
      <c r="P35" s="8"/>
      <c r="Q35" s="9"/>
      <c r="R35" s="10"/>
      <c r="S35" s="8"/>
      <c r="T35" s="8"/>
      <c r="U35" s="9"/>
      <c r="X35" s="10"/>
      <c r="Y35" s="8"/>
      <c r="Z35" s="8"/>
      <c r="AA35" s="9"/>
    </row>
    <row r="36" spans="2:27" s="33" customFormat="1" ht="16.5" thickBot="1" x14ac:dyDescent="0.3">
      <c r="B36" s="34"/>
      <c r="C36" s="112" t="s">
        <v>24</v>
      </c>
      <c r="D36" s="56">
        <f>SUM(F36:U36)</f>
        <v>0.5</v>
      </c>
      <c r="E36" s="56"/>
      <c r="F36" s="10"/>
      <c r="G36" s="8"/>
      <c r="H36" s="8"/>
      <c r="I36" s="14">
        <v>0.5</v>
      </c>
      <c r="J36" s="10"/>
      <c r="K36" s="8"/>
      <c r="L36" s="8"/>
      <c r="M36" s="9"/>
      <c r="N36" s="10"/>
      <c r="O36" s="8"/>
      <c r="P36" s="8"/>
      <c r="Q36" s="9"/>
      <c r="R36" s="10"/>
      <c r="S36" s="8"/>
      <c r="T36" s="8"/>
      <c r="U36" s="9"/>
      <c r="X36" s="10"/>
      <c r="Y36" s="8"/>
      <c r="Z36" s="8"/>
      <c r="AA36" s="9"/>
    </row>
    <row r="37" spans="2:27" s="33" customFormat="1" ht="16.5" thickBot="1" x14ac:dyDescent="0.3">
      <c r="B37" s="34"/>
      <c r="C37" s="112"/>
      <c r="D37" s="57"/>
      <c r="E37" s="57">
        <f>SUM(F37:U37)</f>
        <v>0.5</v>
      </c>
      <c r="F37" s="10"/>
      <c r="G37" s="8"/>
      <c r="H37" s="8"/>
      <c r="I37" s="97">
        <v>0.5</v>
      </c>
      <c r="J37" s="10"/>
      <c r="K37" s="8"/>
      <c r="L37" s="8"/>
      <c r="M37" s="9"/>
      <c r="N37" s="10"/>
      <c r="O37" s="8"/>
      <c r="P37" s="8"/>
      <c r="Q37" s="9"/>
      <c r="R37" s="10"/>
      <c r="S37" s="8"/>
      <c r="T37" s="8"/>
      <c r="U37" s="9"/>
      <c r="X37" s="10"/>
      <c r="Y37" s="8"/>
      <c r="Z37" s="8"/>
      <c r="AA37" s="9"/>
    </row>
    <row r="38" spans="2:27" s="33" customFormat="1" ht="18.75" thickBot="1" x14ac:dyDescent="0.3">
      <c r="B38" s="34"/>
      <c r="C38" s="58"/>
      <c r="D38" s="59"/>
      <c r="E38" s="60"/>
      <c r="F38" s="10"/>
      <c r="G38" s="8"/>
      <c r="H38" s="8"/>
      <c r="I38" s="9"/>
      <c r="J38" s="10"/>
      <c r="K38" s="8"/>
      <c r="L38" s="8"/>
      <c r="M38" s="9"/>
      <c r="N38" s="10"/>
      <c r="O38" s="8"/>
      <c r="P38" s="8"/>
      <c r="Q38" s="9"/>
      <c r="R38" s="10"/>
      <c r="S38" s="8"/>
      <c r="T38" s="8"/>
      <c r="U38" s="9"/>
      <c r="X38" s="10"/>
      <c r="Y38" s="8"/>
      <c r="Z38" s="8"/>
      <c r="AA38" s="9"/>
    </row>
    <row r="39" spans="2:27" s="33" customFormat="1" ht="18.75" thickBot="1" x14ac:dyDescent="0.3">
      <c r="B39" s="51"/>
      <c r="C39" s="61" t="s">
        <v>25</v>
      </c>
      <c r="D39" s="62"/>
      <c r="E39" s="63"/>
      <c r="F39" s="15"/>
      <c r="G39" s="16"/>
      <c r="H39" s="16"/>
      <c r="I39" s="17"/>
      <c r="J39" s="23"/>
      <c r="K39" s="24"/>
      <c r="L39" s="18"/>
      <c r="M39" s="19"/>
      <c r="N39" s="10"/>
      <c r="O39" s="8"/>
      <c r="P39" s="8"/>
      <c r="Q39" s="9"/>
      <c r="R39" s="20"/>
      <c r="S39" s="21"/>
      <c r="T39" s="21"/>
      <c r="U39" s="22"/>
      <c r="X39" s="20"/>
      <c r="Y39" s="21"/>
      <c r="Z39" s="21"/>
      <c r="AA39" s="22"/>
    </row>
    <row r="40" spans="2:27" s="33" customFormat="1" ht="15.75" x14ac:dyDescent="0.25">
      <c r="B40" s="34"/>
      <c r="C40" s="135" t="s">
        <v>26</v>
      </c>
      <c r="D40" s="56">
        <f>SUM(F40:U40)</f>
        <v>1.5</v>
      </c>
      <c r="E40" s="56"/>
      <c r="F40" s="10"/>
      <c r="G40" s="8"/>
      <c r="H40" s="8"/>
      <c r="I40" s="9"/>
      <c r="J40" s="23">
        <v>1.5</v>
      </c>
      <c r="K40" s="8"/>
      <c r="L40" s="8"/>
      <c r="M40" s="9"/>
      <c r="N40" s="10"/>
      <c r="O40" s="8"/>
      <c r="P40" s="8"/>
      <c r="Q40" s="9"/>
      <c r="R40" s="10"/>
      <c r="S40" s="8"/>
      <c r="T40" s="8"/>
      <c r="U40" s="9"/>
      <c r="X40" s="10"/>
      <c r="Y40" s="8"/>
      <c r="Z40" s="8"/>
      <c r="AA40" s="9"/>
    </row>
    <row r="41" spans="2:27" s="33" customFormat="1" ht="16.5" thickBot="1" x14ac:dyDescent="0.3">
      <c r="B41" s="34"/>
      <c r="C41" s="136"/>
      <c r="D41" s="57"/>
      <c r="E41" s="57">
        <f>SUM(F41:U41)</f>
        <v>1</v>
      </c>
      <c r="F41" s="10"/>
      <c r="G41" s="8"/>
      <c r="H41" s="8"/>
      <c r="I41" s="9"/>
      <c r="J41" s="94">
        <v>1</v>
      </c>
      <c r="K41" s="8"/>
      <c r="L41" s="8"/>
      <c r="M41" s="9"/>
      <c r="N41" s="10"/>
      <c r="O41" s="8"/>
      <c r="P41" s="8"/>
      <c r="Q41" s="9"/>
      <c r="R41" s="10"/>
      <c r="S41" s="8"/>
      <c r="T41" s="8"/>
      <c r="U41" s="9"/>
      <c r="X41" s="10"/>
      <c r="Y41" s="8"/>
      <c r="Z41" s="8"/>
      <c r="AA41" s="9"/>
    </row>
    <row r="42" spans="2:27" s="33" customFormat="1" ht="16.5" thickBot="1" x14ac:dyDescent="0.3">
      <c r="B42" s="34"/>
      <c r="C42" s="112" t="s">
        <v>27</v>
      </c>
      <c r="D42" s="56">
        <f>SUM(F42:U42)</f>
        <v>1.3</v>
      </c>
      <c r="E42" s="56"/>
      <c r="F42" s="10"/>
      <c r="G42" s="8"/>
      <c r="H42" s="8"/>
      <c r="I42" s="9"/>
      <c r="J42" s="10"/>
      <c r="K42" s="24">
        <v>1.3</v>
      </c>
      <c r="L42" s="8"/>
      <c r="M42" s="9"/>
      <c r="N42" s="10"/>
      <c r="O42" s="8"/>
      <c r="P42" s="8"/>
      <c r="Q42" s="9"/>
      <c r="R42" s="10"/>
      <c r="S42" s="8"/>
      <c r="T42" s="8"/>
      <c r="U42" s="9"/>
      <c r="X42" s="10"/>
      <c r="Y42" s="8"/>
      <c r="Z42" s="8"/>
      <c r="AA42" s="9"/>
    </row>
    <row r="43" spans="2:27" s="33" customFormat="1" ht="16.5" thickBot="1" x14ac:dyDescent="0.3">
      <c r="B43" s="34"/>
      <c r="C43" s="112"/>
      <c r="D43" s="57"/>
      <c r="E43" s="57">
        <f>SUM(F43:U43)</f>
        <v>1</v>
      </c>
      <c r="F43" s="10"/>
      <c r="G43" s="8"/>
      <c r="H43" s="8"/>
      <c r="I43" s="9"/>
      <c r="J43" s="10"/>
      <c r="K43" s="95">
        <v>1</v>
      </c>
      <c r="L43" s="8"/>
      <c r="M43" s="9"/>
      <c r="N43" s="10"/>
      <c r="O43" s="8"/>
      <c r="P43" s="8"/>
      <c r="Q43" s="9"/>
      <c r="R43" s="10"/>
      <c r="S43" s="8"/>
      <c r="T43" s="8"/>
      <c r="U43" s="9"/>
      <c r="X43" s="10"/>
      <c r="Y43" s="8"/>
      <c r="Z43" s="8"/>
      <c r="AA43" s="9"/>
    </row>
    <row r="44" spans="2:27" s="33" customFormat="1" ht="16.5" thickBot="1" x14ac:dyDescent="0.3">
      <c r="B44" s="34"/>
      <c r="C44" s="112" t="s">
        <v>28</v>
      </c>
      <c r="D44" s="56">
        <f>SUM(F44:U44)</f>
        <v>1</v>
      </c>
      <c r="E44" s="56"/>
      <c r="F44" s="10"/>
      <c r="G44" s="8"/>
      <c r="H44" s="8"/>
      <c r="I44" s="9"/>
      <c r="J44" s="10"/>
      <c r="K44" s="8"/>
      <c r="L44" s="24">
        <v>1</v>
      </c>
      <c r="M44" s="9"/>
      <c r="N44" s="10"/>
      <c r="O44" s="8"/>
      <c r="P44" s="8"/>
      <c r="Q44" s="9"/>
      <c r="R44" s="10"/>
      <c r="S44" s="8"/>
      <c r="T44" s="8"/>
      <c r="U44" s="9"/>
      <c r="X44" s="10"/>
      <c r="Y44" s="8"/>
      <c r="Z44" s="8"/>
      <c r="AA44" s="9"/>
    </row>
    <row r="45" spans="2:27" s="33" customFormat="1" ht="16.5" thickBot="1" x14ac:dyDescent="0.3">
      <c r="B45" s="34"/>
      <c r="C45" s="112"/>
      <c r="D45" s="57"/>
      <c r="E45" s="57">
        <f>SUM(F45:U45)</f>
        <v>1.25</v>
      </c>
      <c r="F45" s="10"/>
      <c r="G45" s="8"/>
      <c r="H45" s="8"/>
      <c r="I45" s="9"/>
      <c r="J45" s="10"/>
      <c r="K45" s="8"/>
      <c r="L45" s="95">
        <v>1.25</v>
      </c>
      <c r="M45" s="9"/>
      <c r="N45" s="10"/>
      <c r="O45" s="8"/>
      <c r="P45" s="8"/>
      <c r="Q45" s="9"/>
      <c r="R45" s="10"/>
      <c r="S45" s="8"/>
      <c r="T45" s="8"/>
      <c r="U45" s="9"/>
      <c r="X45" s="10"/>
      <c r="Y45" s="8"/>
      <c r="Z45" s="8"/>
      <c r="AA45" s="9"/>
    </row>
    <row r="46" spans="2:27" s="33" customFormat="1" ht="16.5" thickBot="1" x14ac:dyDescent="0.3">
      <c r="B46" s="34"/>
      <c r="C46" s="112" t="s">
        <v>29</v>
      </c>
      <c r="D46" s="56">
        <f>SUM(F46:U46)</f>
        <v>0.5</v>
      </c>
      <c r="E46" s="56"/>
      <c r="F46" s="10"/>
      <c r="G46" s="8"/>
      <c r="H46" s="8"/>
      <c r="I46" s="9"/>
      <c r="J46" s="10"/>
      <c r="K46" s="8"/>
      <c r="L46" s="24">
        <v>0.5</v>
      </c>
      <c r="M46" s="9"/>
      <c r="N46" s="10"/>
      <c r="O46" s="8"/>
      <c r="P46" s="8"/>
      <c r="Q46" s="9"/>
      <c r="R46" s="10"/>
      <c r="S46" s="8"/>
      <c r="T46" s="8"/>
      <c r="U46" s="9"/>
      <c r="X46" s="10"/>
      <c r="Y46" s="8"/>
      <c r="Z46" s="8"/>
      <c r="AA46" s="9"/>
    </row>
    <row r="47" spans="2:27" s="33" customFormat="1" ht="16.5" thickBot="1" x14ac:dyDescent="0.3">
      <c r="B47" s="34"/>
      <c r="C47" s="112"/>
      <c r="D47" s="57"/>
      <c r="E47" s="57">
        <f>SUM(F47:U47)</f>
        <v>1</v>
      </c>
      <c r="F47" s="10"/>
      <c r="G47" s="8"/>
      <c r="H47" s="8"/>
      <c r="I47" s="9"/>
      <c r="J47" s="10"/>
      <c r="K47" s="8"/>
      <c r="L47" s="95">
        <v>1</v>
      </c>
      <c r="M47" s="9"/>
      <c r="N47" s="10"/>
      <c r="O47" s="8"/>
      <c r="P47" s="8"/>
      <c r="Q47" s="9"/>
      <c r="R47" s="10"/>
      <c r="S47" s="8"/>
      <c r="T47" s="8"/>
      <c r="U47" s="9"/>
      <c r="X47" s="10"/>
      <c r="Y47" s="8"/>
      <c r="Z47" s="8"/>
      <c r="AA47" s="9"/>
    </row>
    <row r="48" spans="2:27" s="33" customFormat="1" ht="16.5" thickBot="1" x14ac:dyDescent="0.3">
      <c r="B48" s="34"/>
      <c r="C48" s="112" t="s">
        <v>30</v>
      </c>
      <c r="D48" s="56">
        <f>SUM(F48:U48)</f>
        <v>0.5</v>
      </c>
      <c r="E48" s="56"/>
      <c r="F48" s="10"/>
      <c r="G48" s="8"/>
      <c r="H48" s="8"/>
      <c r="I48" s="9"/>
      <c r="J48" s="10"/>
      <c r="K48" s="8"/>
      <c r="L48" s="24">
        <v>0.5</v>
      </c>
      <c r="M48" s="9"/>
      <c r="N48" s="10"/>
      <c r="O48" s="8"/>
      <c r="P48" s="8"/>
      <c r="Q48" s="9"/>
      <c r="R48" s="10"/>
      <c r="S48" s="8"/>
      <c r="T48" s="8"/>
      <c r="U48" s="9"/>
      <c r="X48" s="10"/>
      <c r="Y48" s="8"/>
      <c r="Z48" s="8"/>
      <c r="AA48" s="9"/>
    </row>
    <row r="49" spans="2:27" s="33" customFormat="1" ht="16.5" thickBot="1" x14ac:dyDescent="0.3">
      <c r="B49" s="34"/>
      <c r="C49" s="112"/>
      <c r="D49" s="57"/>
      <c r="E49" s="57">
        <f>SUM(F49:U49)</f>
        <v>0.45</v>
      </c>
      <c r="F49" s="10"/>
      <c r="G49" s="8"/>
      <c r="H49" s="8"/>
      <c r="I49" s="9"/>
      <c r="J49" s="10"/>
      <c r="K49" s="8"/>
      <c r="L49" s="95">
        <v>0.45</v>
      </c>
      <c r="M49" s="9"/>
      <c r="N49" s="10"/>
      <c r="O49" s="8"/>
      <c r="P49" s="8"/>
      <c r="Q49" s="9"/>
      <c r="R49" s="10"/>
      <c r="S49" s="8"/>
      <c r="T49" s="8"/>
      <c r="U49" s="9"/>
      <c r="X49" s="10"/>
      <c r="Y49" s="8"/>
      <c r="Z49" s="8"/>
      <c r="AA49" s="9"/>
    </row>
    <row r="50" spans="2:27" s="33" customFormat="1" ht="16.5" thickBot="1" x14ac:dyDescent="0.3">
      <c r="B50" s="34"/>
      <c r="C50" s="112" t="s">
        <v>31</v>
      </c>
      <c r="D50" s="56">
        <f>SUM(F50:U50)</f>
        <v>1.5</v>
      </c>
      <c r="E50" s="56"/>
      <c r="F50" s="10"/>
      <c r="G50" s="8"/>
      <c r="H50" s="8"/>
      <c r="I50" s="9"/>
      <c r="J50" s="10"/>
      <c r="K50" s="8"/>
      <c r="L50" s="24">
        <v>1.5</v>
      </c>
      <c r="M50" s="9"/>
      <c r="N50" s="10"/>
      <c r="O50" s="8"/>
      <c r="P50" s="8"/>
      <c r="Q50" s="9"/>
      <c r="R50" s="10"/>
      <c r="S50" s="8"/>
      <c r="T50" s="8"/>
      <c r="U50" s="9"/>
      <c r="X50" s="10"/>
      <c r="Y50" s="8"/>
      <c r="Z50" s="8"/>
      <c r="AA50" s="9"/>
    </row>
    <row r="51" spans="2:27" s="33" customFormat="1" ht="16.5" thickBot="1" x14ac:dyDescent="0.3">
      <c r="B51" s="34"/>
      <c r="C51" s="112"/>
      <c r="D51" s="57"/>
      <c r="E51" s="57">
        <f>SUM(F51:U51)</f>
        <v>1.45</v>
      </c>
      <c r="F51" s="10"/>
      <c r="G51" s="8"/>
      <c r="H51" s="8"/>
      <c r="I51" s="9"/>
      <c r="J51" s="10"/>
      <c r="K51" s="8"/>
      <c r="L51" s="95">
        <v>1.45</v>
      </c>
      <c r="M51" s="9"/>
      <c r="N51" s="10"/>
      <c r="O51" s="8"/>
      <c r="P51" s="8"/>
      <c r="Q51" s="9"/>
      <c r="R51" s="10"/>
      <c r="S51" s="8"/>
      <c r="T51" s="8"/>
      <c r="U51" s="9"/>
      <c r="X51" s="10"/>
      <c r="Y51" s="8"/>
      <c r="Z51" s="8"/>
      <c r="AA51" s="9"/>
    </row>
    <row r="52" spans="2:27" s="33" customFormat="1" ht="16.5" thickBot="1" x14ac:dyDescent="0.3">
      <c r="B52" s="34"/>
      <c r="C52" s="112" t="s">
        <v>32</v>
      </c>
      <c r="D52" s="56">
        <f>SUM(F52:U52)</f>
        <v>0.2</v>
      </c>
      <c r="E52" s="56"/>
      <c r="F52" s="10"/>
      <c r="G52" s="8"/>
      <c r="H52" s="8"/>
      <c r="I52" s="9"/>
      <c r="J52" s="10"/>
      <c r="K52" s="8"/>
      <c r="L52" s="24">
        <v>0.2</v>
      </c>
      <c r="M52" s="9"/>
      <c r="N52" s="10"/>
      <c r="O52" s="8"/>
      <c r="P52" s="8"/>
      <c r="Q52" s="9"/>
      <c r="R52" s="10"/>
      <c r="S52" s="8"/>
      <c r="T52" s="8"/>
      <c r="U52" s="9"/>
      <c r="X52" s="10"/>
      <c r="Y52" s="8"/>
      <c r="Z52" s="8"/>
      <c r="AA52" s="9"/>
    </row>
    <row r="53" spans="2:27" s="33" customFormat="1" ht="16.5" thickBot="1" x14ac:dyDescent="0.3">
      <c r="B53" s="34"/>
      <c r="C53" s="112"/>
      <c r="D53" s="57"/>
      <c r="E53" s="57">
        <f>SUM(F53:U53)</f>
        <v>0.25</v>
      </c>
      <c r="F53" s="10"/>
      <c r="G53" s="8"/>
      <c r="H53" s="8"/>
      <c r="I53" s="9"/>
      <c r="J53" s="10"/>
      <c r="K53" s="8"/>
      <c r="L53" s="95">
        <v>0.25</v>
      </c>
      <c r="M53" s="9"/>
      <c r="N53" s="10"/>
      <c r="O53" s="8"/>
      <c r="P53" s="8"/>
      <c r="Q53" s="9"/>
      <c r="R53" s="10"/>
      <c r="S53" s="8"/>
      <c r="T53" s="8"/>
      <c r="U53" s="9"/>
      <c r="X53" s="10"/>
      <c r="Y53" s="8"/>
      <c r="Z53" s="8"/>
      <c r="AA53" s="9"/>
    </row>
    <row r="54" spans="2:27" s="33" customFormat="1" ht="16.5" thickBot="1" x14ac:dyDescent="0.3">
      <c r="B54" s="34"/>
      <c r="C54" s="112" t="s">
        <v>33</v>
      </c>
      <c r="D54" s="56">
        <f>SUM(F54:U54)</f>
        <v>0.25</v>
      </c>
      <c r="E54" s="56"/>
      <c r="F54" s="10"/>
      <c r="G54" s="8"/>
      <c r="H54" s="8"/>
      <c r="I54" s="9"/>
      <c r="J54" s="10"/>
      <c r="K54" s="8"/>
      <c r="L54" s="24">
        <v>0.25</v>
      </c>
      <c r="M54" s="9"/>
      <c r="N54" s="10"/>
      <c r="O54" s="8"/>
      <c r="P54" s="8"/>
      <c r="Q54" s="9"/>
      <c r="R54" s="10"/>
      <c r="S54" s="8"/>
      <c r="T54" s="8"/>
      <c r="U54" s="9"/>
      <c r="X54" s="10"/>
      <c r="Y54" s="8"/>
      <c r="Z54" s="8"/>
      <c r="AA54" s="9"/>
    </row>
    <row r="55" spans="2:27" s="33" customFormat="1" ht="16.5" thickBot="1" x14ac:dyDescent="0.3">
      <c r="B55" s="34"/>
      <c r="C55" s="112"/>
      <c r="D55" s="57"/>
      <c r="E55" s="57">
        <f>SUM(F55:U55)</f>
        <v>0.25</v>
      </c>
      <c r="F55" s="10"/>
      <c r="G55" s="8"/>
      <c r="H55" s="8"/>
      <c r="I55" s="9"/>
      <c r="J55" s="10"/>
      <c r="K55" s="8"/>
      <c r="L55" s="95">
        <v>0.25</v>
      </c>
      <c r="M55" s="9"/>
      <c r="N55" s="10"/>
      <c r="O55" s="8"/>
      <c r="P55" s="8"/>
      <c r="Q55" s="9"/>
      <c r="R55" s="10"/>
      <c r="S55" s="8"/>
      <c r="T55" s="8"/>
      <c r="U55" s="9"/>
      <c r="X55" s="10"/>
      <c r="Y55" s="8"/>
      <c r="Z55" s="8"/>
      <c r="AA55" s="9"/>
    </row>
    <row r="56" spans="2:27" s="33" customFormat="1" ht="16.5" thickBot="1" x14ac:dyDescent="0.3">
      <c r="B56" s="34"/>
      <c r="C56" s="112" t="s">
        <v>21</v>
      </c>
      <c r="D56" s="56">
        <f>SUM(F56:U56)</f>
        <v>0.25</v>
      </c>
      <c r="E56" s="56"/>
      <c r="F56" s="10"/>
      <c r="G56" s="8"/>
      <c r="H56" s="8"/>
      <c r="I56" s="9"/>
      <c r="J56" s="10"/>
      <c r="K56" s="8"/>
      <c r="L56" s="24">
        <v>0.25</v>
      </c>
      <c r="M56" s="9"/>
      <c r="N56" s="10"/>
      <c r="O56" s="8"/>
      <c r="P56" s="8"/>
      <c r="Q56" s="9"/>
      <c r="R56" s="10"/>
      <c r="S56" s="8"/>
      <c r="T56" s="8"/>
      <c r="U56" s="9"/>
      <c r="X56" s="10"/>
      <c r="Y56" s="8"/>
      <c r="Z56" s="8"/>
      <c r="AA56" s="9"/>
    </row>
    <row r="57" spans="2:27" s="33" customFormat="1" ht="16.5" thickBot="1" x14ac:dyDescent="0.3">
      <c r="B57" s="34"/>
      <c r="C57" s="112"/>
      <c r="D57" s="57"/>
      <c r="E57" s="57">
        <f>SUM(F57:U57)</f>
        <v>0.25</v>
      </c>
      <c r="F57" s="10"/>
      <c r="G57" s="8"/>
      <c r="H57" s="8"/>
      <c r="I57" s="9"/>
      <c r="J57" s="10"/>
      <c r="K57" s="8"/>
      <c r="L57" s="95">
        <v>0.25</v>
      </c>
      <c r="M57" s="9"/>
      <c r="N57" s="10"/>
      <c r="O57" s="8"/>
      <c r="P57" s="8"/>
      <c r="Q57" s="9"/>
      <c r="R57" s="10"/>
      <c r="S57" s="8"/>
      <c r="T57" s="8"/>
      <c r="U57" s="9"/>
      <c r="X57" s="10"/>
      <c r="Y57" s="8"/>
      <c r="Z57" s="8"/>
      <c r="AA57" s="9"/>
    </row>
    <row r="58" spans="2:27" s="33" customFormat="1" ht="16.5" thickBot="1" x14ac:dyDescent="0.3">
      <c r="B58" s="34"/>
      <c r="C58" s="112" t="s">
        <v>67</v>
      </c>
      <c r="D58" s="56">
        <f>SUM(F58:AA58)</f>
        <v>0.3</v>
      </c>
      <c r="E58" s="56"/>
      <c r="F58" s="10"/>
      <c r="G58" s="8"/>
      <c r="H58" s="8"/>
      <c r="I58" s="9"/>
      <c r="J58" s="10"/>
      <c r="K58" s="8"/>
      <c r="L58" s="24">
        <v>0.3</v>
      </c>
      <c r="M58" s="148"/>
      <c r="N58" s="10"/>
      <c r="O58" s="8"/>
      <c r="P58" s="8"/>
      <c r="Q58" s="9"/>
      <c r="R58" s="10"/>
      <c r="S58" s="8"/>
      <c r="T58" s="8"/>
      <c r="U58" s="9"/>
      <c r="X58" s="10"/>
      <c r="Y58" s="8"/>
      <c r="Z58" s="8"/>
      <c r="AA58" s="9"/>
    </row>
    <row r="59" spans="2:27" s="33" customFormat="1" ht="16.5" thickBot="1" x14ac:dyDescent="0.3">
      <c r="B59" s="34"/>
      <c r="C59" s="112"/>
      <c r="D59" s="57"/>
      <c r="E59" s="57">
        <f>SUM(F59:AA59)</f>
        <v>0.25</v>
      </c>
      <c r="F59" s="10"/>
      <c r="G59" s="8"/>
      <c r="H59" s="8"/>
      <c r="I59" s="9"/>
      <c r="J59" s="10"/>
      <c r="K59" s="8"/>
      <c r="L59" s="95">
        <v>0.25</v>
      </c>
      <c r="M59" s="148"/>
      <c r="N59" s="10"/>
      <c r="O59" s="8"/>
      <c r="P59" s="8"/>
      <c r="Q59" s="9"/>
      <c r="R59" s="10"/>
      <c r="S59" s="8"/>
      <c r="T59" s="8"/>
      <c r="U59" s="9"/>
      <c r="X59" s="10"/>
      <c r="Y59" s="8"/>
      <c r="Z59" s="8"/>
      <c r="AA59" s="9"/>
    </row>
    <row r="60" spans="2:27" s="33" customFormat="1" ht="16.5" thickBot="1" x14ac:dyDescent="0.3">
      <c r="B60" s="34"/>
      <c r="C60" s="112" t="s">
        <v>66</v>
      </c>
      <c r="D60" s="56">
        <f>SUM(F60:AA60)</f>
        <v>0.25</v>
      </c>
      <c r="E60" s="56"/>
      <c r="F60" s="10"/>
      <c r="G60" s="8"/>
      <c r="H60" s="8"/>
      <c r="I60" s="9"/>
      <c r="J60" s="10"/>
      <c r="K60" s="8"/>
      <c r="L60" s="24">
        <v>0.25</v>
      </c>
      <c r="M60" s="148"/>
      <c r="N60" s="10"/>
      <c r="O60" s="8"/>
      <c r="P60" s="8"/>
      <c r="Q60" s="9"/>
      <c r="R60" s="10"/>
      <c r="S60" s="8"/>
      <c r="T60" s="8"/>
      <c r="U60" s="9"/>
      <c r="X60" s="10"/>
      <c r="Y60" s="8"/>
      <c r="Z60" s="8"/>
      <c r="AA60" s="9"/>
    </row>
    <row r="61" spans="2:27" s="33" customFormat="1" ht="16.5" thickBot="1" x14ac:dyDescent="0.3">
      <c r="B61" s="34"/>
      <c r="C61" s="112"/>
      <c r="D61" s="57"/>
      <c r="E61" s="57">
        <f>SUM(F61:AA61)</f>
        <v>0.2</v>
      </c>
      <c r="F61" s="10"/>
      <c r="G61" s="8"/>
      <c r="H61" s="8"/>
      <c r="I61" s="9"/>
      <c r="J61" s="10"/>
      <c r="K61" s="8"/>
      <c r="L61" s="95">
        <v>0.2</v>
      </c>
      <c r="M61" s="148"/>
      <c r="N61" s="10"/>
      <c r="O61" s="8"/>
      <c r="P61" s="8"/>
      <c r="Q61" s="9"/>
      <c r="R61" s="10"/>
      <c r="S61" s="8"/>
      <c r="T61" s="8"/>
      <c r="U61" s="9"/>
      <c r="X61" s="10"/>
      <c r="Y61" s="8"/>
      <c r="Z61" s="8"/>
      <c r="AA61" s="9"/>
    </row>
    <row r="62" spans="2:27" s="33" customFormat="1" ht="16.5" thickBot="1" x14ac:dyDescent="0.3">
      <c r="B62" s="34"/>
      <c r="C62" s="137" t="s">
        <v>34</v>
      </c>
      <c r="D62" s="56">
        <f>SUM(F62:U62)</f>
        <v>0.45</v>
      </c>
      <c r="E62" s="56"/>
      <c r="F62" s="10"/>
      <c r="G62" s="8"/>
      <c r="H62" s="8"/>
      <c r="I62" s="9"/>
      <c r="J62" s="10"/>
      <c r="K62" s="8"/>
      <c r="L62" s="8"/>
      <c r="M62" s="24">
        <v>0.45</v>
      </c>
      <c r="N62" s="10"/>
      <c r="O62" s="8"/>
      <c r="P62" s="8"/>
      <c r="Q62" s="9"/>
      <c r="R62" s="10"/>
      <c r="S62" s="8"/>
      <c r="T62" s="8"/>
      <c r="U62" s="9"/>
      <c r="X62" s="10"/>
      <c r="Y62" s="8"/>
      <c r="Z62" s="8"/>
      <c r="AA62" s="9"/>
    </row>
    <row r="63" spans="2:27" s="33" customFormat="1" ht="13.5" customHeight="1" thickBot="1" x14ac:dyDescent="0.3">
      <c r="B63" s="34"/>
      <c r="C63" s="137"/>
      <c r="D63" s="57"/>
      <c r="E63" s="57">
        <f>SUM(F63:U63)</f>
        <v>0.35</v>
      </c>
      <c r="F63" s="10"/>
      <c r="G63" s="8"/>
      <c r="H63" s="8"/>
      <c r="I63" s="9"/>
      <c r="J63" s="10"/>
      <c r="K63" s="8"/>
      <c r="L63" s="8"/>
      <c r="M63" s="95">
        <v>0.35</v>
      </c>
      <c r="N63" s="10"/>
      <c r="O63" s="8"/>
      <c r="P63" s="8"/>
      <c r="Q63" s="9"/>
      <c r="R63" s="10"/>
      <c r="S63" s="8"/>
      <c r="T63" s="8"/>
      <c r="U63" s="9"/>
      <c r="X63" s="10"/>
      <c r="Y63" s="8"/>
      <c r="Z63" s="8"/>
      <c r="AA63" s="9"/>
    </row>
    <row r="64" spans="2:27" s="33" customFormat="1" ht="13.5" customHeight="1" thickBot="1" x14ac:dyDescent="0.3">
      <c r="B64" s="34"/>
      <c r="C64" s="64"/>
      <c r="D64" s="59"/>
      <c r="E64" s="60"/>
      <c r="F64" s="10"/>
      <c r="G64" s="8"/>
      <c r="H64" s="8"/>
      <c r="I64" s="9"/>
      <c r="J64" s="10"/>
      <c r="K64" s="8"/>
      <c r="L64" s="8"/>
      <c r="M64" s="8"/>
      <c r="N64" s="10"/>
      <c r="O64" s="8"/>
      <c r="P64" s="8"/>
      <c r="Q64" s="9"/>
      <c r="R64" s="10"/>
      <c r="S64" s="8"/>
      <c r="T64" s="8"/>
      <c r="U64" s="9"/>
      <c r="X64" s="10"/>
      <c r="Y64" s="8"/>
      <c r="Z64" s="8"/>
      <c r="AA64" s="9"/>
    </row>
    <row r="65" spans="2:27" s="33" customFormat="1" ht="18.75" thickBot="1" x14ac:dyDescent="0.3">
      <c r="B65" s="51"/>
      <c r="C65" s="61" t="s">
        <v>35</v>
      </c>
      <c r="D65" s="62"/>
      <c r="E65" s="63"/>
      <c r="F65" s="25"/>
      <c r="G65" s="26"/>
      <c r="H65" s="26"/>
      <c r="I65" s="27"/>
      <c r="J65" s="25"/>
      <c r="K65" s="26"/>
      <c r="L65" s="26"/>
      <c r="M65" s="27"/>
      <c r="N65" s="28"/>
      <c r="O65" s="28"/>
      <c r="P65" s="28"/>
      <c r="Q65" s="28"/>
      <c r="R65" s="8"/>
      <c r="S65" s="8"/>
      <c r="T65" s="8"/>
      <c r="U65" s="9"/>
      <c r="V65" s="8"/>
      <c r="W65" s="8"/>
      <c r="X65" s="8"/>
      <c r="Y65" s="8"/>
      <c r="Z65" s="8"/>
      <c r="AA65" s="8"/>
    </row>
    <row r="66" spans="2:27" s="33" customFormat="1" ht="16.5" thickBot="1" x14ac:dyDescent="0.3">
      <c r="B66" s="34"/>
      <c r="C66" s="112" t="s">
        <v>36</v>
      </c>
      <c r="D66" s="56">
        <f>SUM(F66:U66)</f>
        <v>0.45</v>
      </c>
      <c r="E66" s="56"/>
      <c r="F66" s="10"/>
      <c r="G66" s="8"/>
      <c r="H66" s="8"/>
      <c r="I66" s="9"/>
      <c r="J66" s="10"/>
      <c r="K66" s="8"/>
      <c r="L66" s="8"/>
      <c r="M66" s="9"/>
      <c r="N66" s="28">
        <v>0.45</v>
      </c>
      <c r="O66" s="8"/>
      <c r="P66" s="8"/>
      <c r="Q66" s="9"/>
      <c r="R66" s="10"/>
      <c r="S66" s="8"/>
      <c r="T66" s="8"/>
      <c r="U66" s="9"/>
      <c r="X66" s="10"/>
      <c r="Y66" s="8"/>
      <c r="Z66" s="8"/>
      <c r="AA66" s="9"/>
    </row>
    <row r="67" spans="2:27" s="33" customFormat="1" ht="16.5" thickBot="1" x14ac:dyDescent="0.3">
      <c r="B67" s="34"/>
      <c r="C67" s="112"/>
      <c r="D67" s="57"/>
      <c r="E67" s="57">
        <f>SUM(F67:U67)</f>
        <v>0.5</v>
      </c>
      <c r="F67" s="10"/>
      <c r="G67" s="8"/>
      <c r="H67" s="8"/>
      <c r="I67" s="9"/>
      <c r="J67" s="10"/>
      <c r="K67" s="8"/>
      <c r="L67" s="8"/>
      <c r="M67" s="9"/>
      <c r="N67" s="94">
        <v>0.5</v>
      </c>
      <c r="O67" s="8"/>
      <c r="P67" s="8"/>
      <c r="Q67" s="9"/>
      <c r="R67" s="10"/>
      <c r="S67" s="8"/>
      <c r="T67" s="8"/>
      <c r="U67" s="9"/>
      <c r="X67" s="10"/>
      <c r="Y67" s="8"/>
      <c r="Z67" s="8"/>
      <c r="AA67" s="9"/>
    </row>
    <row r="68" spans="2:27" s="33" customFormat="1" ht="16.5" thickBot="1" x14ac:dyDescent="0.3">
      <c r="B68" s="34"/>
      <c r="C68" s="112" t="s">
        <v>37</v>
      </c>
      <c r="D68" s="56">
        <f>SUM(F68:U68)</f>
        <v>3.75</v>
      </c>
      <c r="E68" s="56"/>
      <c r="F68" s="10"/>
      <c r="G68" s="8"/>
      <c r="H68" s="8"/>
      <c r="I68" s="9"/>
      <c r="J68" s="10"/>
      <c r="K68" s="8"/>
      <c r="L68" s="8"/>
      <c r="M68" s="9"/>
      <c r="N68" s="10"/>
      <c r="O68" s="28">
        <v>3.75</v>
      </c>
      <c r="P68" s="8"/>
      <c r="Q68" s="9"/>
      <c r="R68" s="10"/>
      <c r="S68" s="8"/>
      <c r="T68" s="8"/>
      <c r="U68" s="9"/>
      <c r="X68" s="10"/>
      <c r="Y68" s="8"/>
      <c r="Z68" s="8"/>
      <c r="AA68" s="9"/>
    </row>
    <row r="69" spans="2:27" s="33" customFormat="1" ht="16.5" thickBot="1" x14ac:dyDescent="0.3">
      <c r="B69" s="34"/>
      <c r="C69" s="112"/>
      <c r="D69" s="57"/>
      <c r="E69" s="57">
        <f>SUM(F69:U69)</f>
        <v>3.5</v>
      </c>
      <c r="F69" s="10"/>
      <c r="G69" s="8"/>
      <c r="H69" s="8"/>
      <c r="I69" s="9"/>
      <c r="J69" s="10"/>
      <c r="K69" s="8"/>
      <c r="L69" s="8"/>
      <c r="M69" s="9"/>
      <c r="N69" s="10"/>
      <c r="O69" s="94">
        <v>3.5</v>
      </c>
      <c r="P69" s="8"/>
      <c r="Q69" s="9"/>
      <c r="R69" s="10"/>
      <c r="S69" s="8"/>
      <c r="T69" s="8"/>
      <c r="U69" s="9"/>
      <c r="X69" s="10"/>
      <c r="Y69" s="8"/>
      <c r="Z69" s="8"/>
      <c r="AA69" s="9"/>
    </row>
    <row r="70" spans="2:27" s="33" customFormat="1" ht="15.75" x14ac:dyDescent="0.25">
      <c r="B70" s="34"/>
      <c r="C70" s="135" t="s">
        <v>38</v>
      </c>
      <c r="D70" s="56">
        <f>SUM(F70:U70)</f>
        <v>0.5</v>
      </c>
      <c r="E70" s="56"/>
      <c r="F70" s="10"/>
      <c r="G70" s="8"/>
      <c r="H70" s="8"/>
      <c r="I70" s="9"/>
      <c r="J70" s="10"/>
      <c r="K70" s="8"/>
      <c r="L70" s="8"/>
      <c r="M70" s="9"/>
      <c r="N70" s="10"/>
      <c r="O70" s="8"/>
      <c r="P70" s="28">
        <v>0.5</v>
      </c>
      <c r="Q70" s="9"/>
      <c r="R70" s="10"/>
      <c r="S70" s="8"/>
      <c r="T70" s="8"/>
      <c r="U70" s="9"/>
      <c r="X70" s="10"/>
      <c r="Y70" s="8"/>
      <c r="Z70" s="8"/>
      <c r="AA70" s="9"/>
    </row>
    <row r="71" spans="2:27" s="33" customFormat="1" ht="16.5" thickBot="1" x14ac:dyDescent="0.3">
      <c r="B71" s="34"/>
      <c r="C71" s="136"/>
      <c r="D71" s="57"/>
      <c r="E71" s="57">
        <f>SUM(F71:U71)</f>
        <v>0.75</v>
      </c>
      <c r="F71" s="10"/>
      <c r="G71" s="8"/>
      <c r="H71" s="8"/>
      <c r="I71" s="9"/>
      <c r="J71" s="10"/>
      <c r="K71" s="8"/>
      <c r="L71" s="8"/>
      <c r="M71" s="9"/>
      <c r="N71" s="10"/>
      <c r="O71" s="8"/>
      <c r="P71" s="94">
        <v>0.75</v>
      </c>
      <c r="Q71" s="9"/>
      <c r="R71" s="10"/>
      <c r="S71" s="8"/>
      <c r="T71" s="8"/>
      <c r="U71" s="9"/>
      <c r="X71" s="10"/>
      <c r="Y71" s="8"/>
      <c r="Z71" s="8"/>
      <c r="AA71" s="9"/>
    </row>
    <row r="72" spans="2:27" s="33" customFormat="1" ht="16.5" thickBot="1" x14ac:dyDescent="0.3">
      <c r="B72" s="34"/>
      <c r="C72" s="112" t="s">
        <v>39</v>
      </c>
      <c r="D72" s="56">
        <f>SUM(F72:U72)</f>
        <v>0.5</v>
      </c>
      <c r="E72" s="56"/>
      <c r="F72" s="10"/>
      <c r="G72" s="8"/>
      <c r="H72" s="8"/>
      <c r="I72" s="9"/>
      <c r="J72" s="10"/>
      <c r="K72" s="8"/>
      <c r="L72" s="8"/>
      <c r="M72" s="9"/>
      <c r="N72" s="10"/>
      <c r="O72" s="8"/>
      <c r="P72" s="28">
        <v>0.5</v>
      </c>
      <c r="Q72" s="9"/>
      <c r="R72" s="10"/>
      <c r="S72" s="8"/>
      <c r="T72" s="8"/>
      <c r="U72" s="9"/>
      <c r="X72" s="10"/>
      <c r="Y72" s="8"/>
      <c r="Z72" s="8"/>
      <c r="AA72" s="9"/>
    </row>
    <row r="73" spans="2:27" s="33" customFormat="1" ht="16.5" thickBot="1" x14ac:dyDescent="0.3">
      <c r="B73" s="34"/>
      <c r="C73" s="112"/>
      <c r="D73" s="57"/>
      <c r="E73" s="57">
        <f>SUM(F73:U73)</f>
        <v>0.4</v>
      </c>
      <c r="F73" s="10"/>
      <c r="G73" s="8"/>
      <c r="H73" s="8"/>
      <c r="I73" s="9"/>
      <c r="J73" s="10"/>
      <c r="K73" s="8"/>
      <c r="L73" s="8"/>
      <c r="M73" s="9"/>
      <c r="N73" s="10"/>
      <c r="O73" s="8"/>
      <c r="P73" s="94">
        <v>0.4</v>
      </c>
      <c r="Q73" s="9"/>
      <c r="R73" s="10"/>
      <c r="S73" s="8"/>
      <c r="T73" s="8"/>
      <c r="U73" s="9"/>
      <c r="X73" s="10"/>
      <c r="Y73" s="8"/>
      <c r="Z73" s="8"/>
      <c r="AA73" s="9"/>
    </row>
    <row r="74" spans="2:27" s="33" customFormat="1" ht="16.5" thickBot="1" x14ac:dyDescent="0.3">
      <c r="B74" s="34"/>
      <c r="C74" s="112" t="s">
        <v>40</v>
      </c>
      <c r="D74" s="56">
        <f>SUM(F74:U74)</f>
        <v>0.6</v>
      </c>
      <c r="E74" s="56"/>
      <c r="F74" s="10"/>
      <c r="G74" s="8"/>
      <c r="H74" s="8"/>
      <c r="I74" s="9"/>
      <c r="J74" s="10"/>
      <c r="K74" s="8"/>
      <c r="L74" s="8"/>
      <c r="M74" s="9"/>
      <c r="N74" s="10"/>
      <c r="O74" s="8"/>
      <c r="P74" s="28">
        <v>0.6</v>
      </c>
      <c r="Q74" s="9"/>
      <c r="R74" s="10"/>
      <c r="S74" s="8"/>
      <c r="T74" s="8"/>
      <c r="U74" s="9"/>
      <c r="X74" s="10"/>
      <c r="Y74" s="8"/>
      <c r="Z74" s="8"/>
      <c r="AA74" s="9"/>
    </row>
    <row r="75" spans="2:27" s="33" customFormat="1" ht="16.5" thickBot="1" x14ac:dyDescent="0.3">
      <c r="B75" s="34"/>
      <c r="C75" s="112"/>
      <c r="D75" s="57"/>
      <c r="E75" s="57">
        <f>SUM(F75:U75)</f>
        <v>0.4</v>
      </c>
      <c r="F75" s="10"/>
      <c r="G75" s="8"/>
      <c r="H75" s="8"/>
      <c r="I75" s="9"/>
      <c r="J75" s="10"/>
      <c r="K75" s="8"/>
      <c r="L75" s="8"/>
      <c r="M75" s="9"/>
      <c r="N75" s="10"/>
      <c r="O75" s="8"/>
      <c r="P75" s="94">
        <v>0.4</v>
      </c>
      <c r="Q75" s="9"/>
      <c r="R75" s="10"/>
      <c r="S75" s="8"/>
      <c r="T75" s="8"/>
      <c r="U75" s="9"/>
      <c r="X75" s="10"/>
      <c r="Y75" s="8"/>
      <c r="Z75" s="8"/>
      <c r="AA75" s="9"/>
    </row>
    <row r="76" spans="2:27" s="33" customFormat="1" ht="16.5" thickBot="1" x14ac:dyDescent="0.3">
      <c r="B76" s="34"/>
      <c r="C76" s="112" t="s">
        <v>41</v>
      </c>
      <c r="D76" s="56">
        <f>SUM(F76:U76)</f>
        <v>0.3</v>
      </c>
      <c r="E76" s="56"/>
      <c r="F76" s="10"/>
      <c r="G76" s="8"/>
      <c r="H76" s="8"/>
      <c r="I76" s="9"/>
      <c r="J76" s="10"/>
      <c r="K76" s="8"/>
      <c r="L76" s="8"/>
      <c r="M76" s="9"/>
      <c r="N76" s="10"/>
      <c r="O76" s="8"/>
      <c r="P76" s="28">
        <v>0.3</v>
      </c>
      <c r="Q76" s="9"/>
      <c r="R76" s="10"/>
      <c r="S76" s="8"/>
      <c r="T76" s="8"/>
      <c r="U76" s="9"/>
      <c r="X76" s="10"/>
      <c r="Y76" s="8"/>
      <c r="Z76" s="8"/>
      <c r="AA76" s="9"/>
    </row>
    <row r="77" spans="2:27" s="33" customFormat="1" ht="16.5" thickBot="1" x14ac:dyDescent="0.3">
      <c r="B77" s="34"/>
      <c r="C77" s="112"/>
      <c r="D77" s="57"/>
      <c r="E77" s="57">
        <f>SUM(F77:U77)</f>
        <v>0.45</v>
      </c>
      <c r="F77" s="10"/>
      <c r="G77" s="8"/>
      <c r="H77" s="8"/>
      <c r="I77" s="9"/>
      <c r="J77" s="10"/>
      <c r="K77" s="8"/>
      <c r="L77" s="8"/>
      <c r="M77" s="9"/>
      <c r="N77" s="10"/>
      <c r="O77" s="8"/>
      <c r="P77" s="94">
        <v>0.45</v>
      </c>
      <c r="Q77" s="9"/>
      <c r="R77" s="10"/>
      <c r="S77" s="8"/>
      <c r="T77" s="8"/>
      <c r="U77" s="9"/>
      <c r="X77" s="10"/>
      <c r="Y77" s="8"/>
      <c r="Z77" s="8"/>
      <c r="AA77" s="9"/>
    </row>
    <row r="78" spans="2:27" s="33" customFormat="1" ht="16.5" thickBot="1" x14ac:dyDescent="0.3">
      <c r="B78" s="34"/>
      <c r="C78" s="112" t="s">
        <v>21</v>
      </c>
      <c r="D78" s="99">
        <f>SUM(F78:U78)</f>
        <v>0.25</v>
      </c>
      <c r="E78" s="56"/>
      <c r="F78" s="10"/>
      <c r="G78" s="8"/>
      <c r="H78" s="8"/>
      <c r="I78" s="9"/>
      <c r="J78" s="10"/>
      <c r="K78" s="8"/>
      <c r="L78" s="8"/>
      <c r="M78" s="9"/>
      <c r="N78" s="10"/>
      <c r="O78" s="8"/>
      <c r="P78" s="28">
        <v>0.25</v>
      </c>
      <c r="Q78" s="9"/>
      <c r="R78" s="10"/>
      <c r="S78" s="8"/>
      <c r="T78" s="8"/>
      <c r="U78" s="9"/>
      <c r="X78" s="10"/>
      <c r="Y78" s="8"/>
      <c r="Z78" s="8"/>
      <c r="AA78" s="9"/>
    </row>
    <row r="79" spans="2:27" s="33" customFormat="1" ht="16.5" thickBot="1" x14ac:dyDescent="0.3">
      <c r="B79" s="34"/>
      <c r="C79" s="112"/>
      <c r="D79" s="99"/>
      <c r="E79" s="57">
        <f>SUM(F79:U79)</f>
        <v>0.25</v>
      </c>
      <c r="F79" s="10"/>
      <c r="G79" s="8"/>
      <c r="H79" s="8"/>
      <c r="I79" s="9"/>
      <c r="J79" s="10"/>
      <c r="K79" s="8"/>
      <c r="L79" s="8"/>
      <c r="M79" s="9"/>
      <c r="N79" s="10"/>
      <c r="O79" s="8"/>
      <c r="P79" s="94">
        <v>0.25</v>
      </c>
      <c r="Q79" s="9"/>
      <c r="R79" s="10"/>
      <c r="S79" s="8"/>
      <c r="T79" s="8"/>
      <c r="U79" s="9"/>
      <c r="X79" s="10"/>
      <c r="Y79" s="8"/>
      <c r="Z79" s="8"/>
      <c r="AA79" s="9"/>
    </row>
    <row r="80" spans="2:27" s="33" customFormat="1" ht="16.5" thickBot="1" x14ac:dyDescent="0.3">
      <c r="B80" s="34"/>
      <c r="C80" s="137" t="s">
        <v>42</v>
      </c>
      <c r="D80" s="56">
        <f>SUM(F80:U80)</f>
        <v>0.25</v>
      </c>
      <c r="E80" s="56"/>
      <c r="F80" s="10"/>
      <c r="G80" s="8"/>
      <c r="H80" s="8"/>
      <c r="I80" s="9"/>
      <c r="J80" s="10"/>
      <c r="K80" s="8"/>
      <c r="L80" s="8"/>
      <c r="M80" s="9"/>
      <c r="N80" s="10"/>
      <c r="O80" s="8"/>
      <c r="P80" s="28">
        <v>0.25</v>
      </c>
      <c r="Q80" s="9"/>
      <c r="R80" s="10"/>
      <c r="S80" s="8"/>
      <c r="T80" s="8"/>
      <c r="U80" s="9"/>
      <c r="X80" s="10"/>
      <c r="Y80" s="8"/>
      <c r="Z80" s="8"/>
      <c r="AA80" s="9"/>
    </row>
    <row r="81" spans="2:27" s="33" customFormat="1" ht="16.5" thickBot="1" x14ac:dyDescent="0.3">
      <c r="B81" s="34"/>
      <c r="C81" s="137"/>
      <c r="D81" s="57"/>
      <c r="E81" s="57">
        <f>SUM(F81:U81)</f>
        <v>0.2</v>
      </c>
      <c r="F81" s="10"/>
      <c r="G81" s="8"/>
      <c r="H81" s="8"/>
      <c r="I81" s="9"/>
      <c r="J81" s="10"/>
      <c r="K81" s="8"/>
      <c r="L81" s="8"/>
      <c r="M81" s="9"/>
      <c r="N81" s="10"/>
      <c r="O81" s="8"/>
      <c r="P81" s="94">
        <v>0.2</v>
      </c>
      <c r="Q81" s="9"/>
      <c r="R81" s="10"/>
      <c r="S81" s="8"/>
      <c r="T81" s="8"/>
      <c r="U81" s="9"/>
      <c r="X81" s="10"/>
      <c r="Y81" s="8"/>
      <c r="Z81" s="8"/>
      <c r="AA81" s="9"/>
    </row>
    <row r="82" spans="2:27" s="33" customFormat="1" ht="15.75" customHeight="1" thickBot="1" x14ac:dyDescent="0.3">
      <c r="B82" s="34"/>
      <c r="C82" s="137" t="s">
        <v>43</v>
      </c>
      <c r="D82" s="56">
        <f>SUM(F82:U82)</f>
        <v>0.35</v>
      </c>
      <c r="E82" s="56"/>
      <c r="F82" s="10"/>
      <c r="G82" s="8"/>
      <c r="H82" s="8"/>
      <c r="I82" s="9"/>
      <c r="J82" s="10"/>
      <c r="K82" s="8"/>
      <c r="L82" s="8"/>
      <c r="M82" s="9"/>
      <c r="N82" s="10"/>
      <c r="O82" s="8"/>
      <c r="P82" s="8"/>
      <c r="Q82" s="28">
        <v>0.35</v>
      </c>
      <c r="R82" s="10"/>
      <c r="S82" s="8"/>
      <c r="T82" s="8"/>
      <c r="U82" s="9"/>
      <c r="X82" s="10"/>
      <c r="Y82" s="8"/>
      <c r="Z82" s="8"/>
      <c r="AA82" s="9"/>
    </row>
    <row r="83" spans="2:27" s="33" customFormat="1" ht="13.5" customHeight="1" thickBot="1" x14ac:dyDescent="0.3">
      <c r="B83" s="34"/>
      <c r="C83" s="137"/>
      <c r="D83" s="57"/>
      <c r="E83" s="57">
        <f>SUM(F83:U83)</f>
        <v>0.5</v>
      </c>
      <c r="F83" s="10"/>
      <c r="G83" s="8"/>
      <c r="H83" s="8"/>
      <c r="I83" s="9"/>
      <c r="J83" s="10"/>
      <c r="K83" s="8"/>
      <c r="L83" s="8"/>
      <c r="M83" s="9"/>
      <c r="N83" s="10"/>
      <c r="O83" s="8"/>
      <c r="P83" s="8"/>
      <c r="Q83" s="94">
        <v>0.5</v>
      </c>
      <c r="R83" s="10"/>
      <c r="S83" s="8"/>
      <c r="T83" s="8"/>
      <c r="U83" s="9"/>
      <c r="X83" s="10"/>
      <c r="Y83" s="8"/>
      <c r="Z83" s="8"/>
      <c r="AA83" s="9"/>
    </row>
    <row r="84" spans="2:27" s="33" customFormat="1" ht="13.5" customHeight="1" thickBot="1" x14ac:dyDescent="0.3">
      <c r="B84" s="34"/>
      <c r="C84" s="137" t="s">
        <v>65</v>
      </c>
      <c r="D84" s="56">
        <f>SUM(F84:AA84)</f>
        <v>0.3</v>
      </c>
      <c r="E84" s="56"/>
      <c r="F84" s="10"/>
      <c r="G84" s="8"/>
      <c r="H84" s="8"/>
      <c r="I84" s="9"/>
      <c r="J84" s="10"/>
      <c r="K84" s="8"/>
      <c r="L84" s="8"/>
      <c r="M84" s="9"/>
      <c r="N84" s="10"/>
      <c r="O84" s="8"/>
      <c r="P84" s="8"/>
      <c r="Q84" s="28">
        <v>0.3</v>
      </c>
      <c r="R84" s="10"/>
      <c r="S84" s="8"/>
      <c r="T84" s="8"/>
      <c r="U84" s="9"/>
      <c r="X84" s="10"/>
      <c r="Y84" s="8"/>
      <c r="Z84" s="8"/>
      <c r="AA84" s="9"/>
    </row>
    <row r="85" spans="2:27" s="33" customFormat="1" ht="13.5" customHeight="1" thickBot="1" x14ac:dyDescent="0.3">
      <c r="B85" s="34"/>
      <c r="C85" s="137"/>
      <c r="D85" s="57"/>
      <c r="E85" s="57">
        <f>SUM(F85:AA85)</f>
        <v>0.5</v>
      </c>
      <c r="F85" s="10"/>
      <c r="G85" s="8"/>
      <c r="H85" s="8"/>
      <c r="I85" s="9"/>
      <c r="J85" s="10"/>
      <c r="K85" s="8"/>
      <c r="L85" s="8"/>
      <c r="M85" s="9"/>
      <c r="N85" s="10"/>
      <c r="O85" s="8"/>
      <c r="P85" s="8"/>
      <c r="Q85" s="144">
        <v>0.5</v>
      </c>
      <c r="R85" s="10"/>
      <c r="S85" s="8"/>
      <c r="T85" s="8"/>
      <c r="U85" s="9"/>
      <c r="X85" s="10"/>
      <c r="Y85" s="8"/>
      <c r="Z85" s="8"/>
      <c r="AA85" s="9"/>
    </row>
    <row r="86" spans="2:27" s="33" customFormat="1" ht="13.5" customHeight="1" thickBot="1" x14ac:dyDescent="0.3">
      <c r="B86" s="34"/>
      <c r="C86" s="137" t="s">
        <v>66</v>
      </c>
      <c r="D86" s="56">
        <f>SUM(F86:AA86)</f>
        <v>0.25</v>
      </c>
      <c r="E86" s="56"/>
      <c r="F86" s="10"/>
      <c r="G86" s="8"/>
      <c r="H86" s="8"/>
      <c r="I86" s="9"/>
      <c r="J86" s="10"/>
      <c r="K86" s="8"/>
      <c r="L86" s="8"/>
      <c r="M86" s="9"/>
      <c r="N86" s="10"/>
      <c r="O86" s="8"/>
      <c r="P86" s="8"/>
      <c r="Q86" s="28">
        <v>0.25</v>
      </c>
      <c r="R86" s="10"/>
      <c r="S86" s="8"/>
      <c r="T86" s="8"/>
      <c r="U86" s="9"/>
      <c r="X86" s="10"/>
      <c r="Y86" s="8"/>
      <c r="Z86" s="8"/>
      <c r="AA86" s="9"/>
    </row>
    <row r="87" spans="2:27" s="33" customFormat="1" ht="13.5" customHeight="1" thickBot="1" x14ac:dyDescent="0.3">
      <c r="B87" s="34"/>
      <c r="C87" s="137"/>
      <c r="D87" s="57"/>
      <c r="E87" s="57">
        <f>SUM(F87:AA87)</f>
        <v>0.25</v>
      </c>
      <c r="F87" s="10"/>
      <c r="G87" s="8"/>
      <c r="H87" s="8"/>
      <c r="I87" s="9"/>
      <c r="J87" s="10"/>
      <c r="K87" s="8"/>
      <c r="L87" s="8"/>
      <c r="M87" s="9"/>
      <c r="N87" s="10"/>
      <c r="O87" s="8"/>
      <c r="P87" s="8"/>
      <c r="Q87" s="144">
        <v>0.25</v>
      </c>
      <c r="R87" s="10"/>
      <c r="S87" s="8"/>
      <c r="T87" s="8"/>
      <c r="U87" s="9"/>
      <c r="X87" s="10"/>
      <c r="Y87" s="8"/>
      <c r="Z87" s="8"/>
      <c r="AA87" s="9"/>
    </row>
    <row r="88" spans="2:27" s="33" customFormat="1" ht="13.5" customHeight="1" thickBot="1" x14ac:dyDescent="0.3">
      <c r="B88" s="34"/>
      <c r="C88" s="137" t="s">
        <v>68</v>
      </c>
      <c r="D88" s="56">
        <f>SUM(F88:AA88)</f>
        <v>0.5</v>
      </c>
      <c r="E88" s="56"/>
      <c r="F88" s="10"/>
      <c r="G88" s="8"/>
      <c r="H88" s="8"/>
      <c r="I88" s="9"/>
      <c r="J88" s="10"/>
      <c r="K88" s="8"/>
      <c r="L88" s="8"/>
      <c r="M88" s="9"/>
      <c r="N88" s="10"/>
      <c r="O88" s="8"/>
      <c r="P88" s="8"/>
      <c r="Q88" s="28">
        <v>0.5</v>
      </c>
      <c r="R88" s="10"/>
      <c r="S88" s="8"/>
      <c r="T88" s="8"/>
      <c r="U88" s="9"/>
      <c r="X88" s="10"/>
      <c r="Y88" s="8"/>
      <c r="Z88" s="8"/>
      <c r="AA88" s="9"/>
    </row>
    <row r="89" spans="2:27" s="33" customFormat="1" ht="16.5" thickBot="1" x14ac:dyDescent="0.3">
      <c r="B89" s="34"/>
      <c r="C89" s="137"/>
      <c r="D89" s="57"/>
      <c r="E89" s="57">
        <f>SUM(F89:AA89)</f>
        <v>0.45</v>
      </c>
      <c r="F89" s="10"/>
      <c r="G89" s="8"/>
      <c r="H89" s="8"/>
      <c r="I89" s="9"/>
      <c r="J89" s="10"/>
      <c r="K89" s="8"/>
      <c r="L89" s="8"/>
      <c r="M89" s="9"/>
      <c r="N89" s="10"/>
      <c r="O89" s="8"/>
      <c r="P89" s="8"/>
      <c r="Q89" s="144">
        <v>0.45</v>
      </c>
      <c r="R89" s="10"/>
      <c r="S89" s="8"/>
      <c r="T89" s="8"/>
      <c r="U89" s="9"/>
      <c r="X89" s="10"/>
      <c r="Y89" s="8"/>
      <c r="Z89" s="8"/>
      <c r="AA89" s="9"/>
    </row>
    <row r="90" spans="2:27" s="33" customFormat="1" ht="18.75" thickBot="1" x14ac:dyDescent="0.3">
      <c r="B90" s="34"/>
      <c r="C90" s="58"/>
      <c r="D90" s="60"/>
      <c r="E90" s="60"/>
      <c r="F90" s="10"/>
      <c r="G90" s="8"/>
      <c r="H90" s="8"/>
      <c r="I90" s="9"/>
      <c r="J90" s="10"/>
      <c r="K90" s="8"/>
      <c r="L90" s="8"/>
      <c r="M90" s="9"/>
      <c r="N90" s="10"/>
      <c r="O90" s="8"/>
      <c r="P90" s="8"/>
      <c r="Q90" s="9"/>
      <c r="R90" s="10"/>
      <c r="S90" s="145"/>
      <c r="T90" s="145"/>
      <c r="U90" s="147"/>
      <c r="X90" s="10"/>
      <c r="Y90" s="8"/>
      <c r="Z90" s="8"/>
      <c r="AA90" s="9"/>
    </row>
    <row r="91" spans="2:27" s="33" customFormat="1" ht="18.75" thickBot="1" x14ac:dyDescent="0.3">
      <c r="B91" s="51"/>
      <c r="C91" s="61" t="s">
        <v>44</v>
      </c>
      <c r="D91" s="62"/>
      <c r="E91" s="63"/>
      <c r="F91" s="25"/>
      <c r="G91" s="26"/>
      <c r="H91" s="26"/>
      <c r="I91" s="27"/>
      <c r="J91" s="25"/>
      <c r="K91" s="26"/>
      <c r="L91" s="26"/>
      <c r="M91" s="27"/>
      <c r="N91" s="25"/>
      <c r="O91" s="26"/>
      <c r="P91" s="26"/>
      <c r="Q91" s="27"/>
      <c r="R91" s="29"/>
      <c r="S91" s="29"/>
      <c r="T91" s="29"/>
      <c r="U91" s="29"/>
      <c r="X91" s="10"/>
      <c r="Y91" s="8"/>
      <c r="Z91" s="8"/>
      <c r="AA91" s="9"/>
    </row>
    <row r="92" spans="2:27" s="33" customFormat="1" ht="16.5" thickBot="1" x14ac:dyDescent="0.3">
      <c r="B92" s="34"/>
      <c r="C92" s="112" t="s">
        <v>45</v>
      </c>
      <c r="D92" s="56">
        <f>SUM(F92:U92)</f>
        <v>1</v>
      </c>
      <c r="E92" s="56"/>
      <c r="F92" s="10"/>
      <c r="G92" s="8"/>
      <c r="H92" s="8"/>
      <c r="I92" s="9"/>
      <c r="J92" s="10"/>
      <c r="K92" s="8"/>
      <c r="L92" s="8"/>
      <c r="M92" s="9"/>
      <c r="N92" s="10"/>
      <c r="O92" s="8"/>
      <c r="P92" s="8"/>
      <c r="Q92" s="9"/>
      <c r="R92" s="29">
        <v>1</v>
      </c>
      <c r="S92" s="8"/>
      <c r="T92" s="8"/>
      <c r="U92" s="9"/>
      <c r="X92" s="10"/>
      <c r="Y92" s="8"/>
      <c r="Z92" s="8"/>
      <c r="AA92" s="9"/>
    </row>
    <row r="93" spans="2:27" s="33" customFormat="1" ht="16.5" thickBot="1" x14ac:dyDescent="0.3">
      <c r="B93" s="34"/>
      <c r="C93" s="112"/>
      <c r="D93" s="57"/>
      <c r="E93" s="57">
        <f>SUM(F93:U93)</f>
        <v>1.45</v>
      </c>
      <c r="F93" s="10"/>
      <c r="G93" s="8"/>
      <c r="H93" s="8"/>
      <c r="I93" s="9"/>
      <c r="J93" s="10"/>
      <c r="K93" s="8"/>
      <c r="L93" s="8"/>
      <c r="M93" s="9"/>
      <c r="N93" s="10"/>
      <c r="O93" s="8"/>
      <c r="P93" s="8"/>
      <c r="Q93" s="9"/>
      <c r="R93" s="94">
        <v>1.45</v>
      </c>
      <c r="S93" s="8"/>
      <c r="T93" s="8"/>
      <c r="U93" s="9"/>
      <c r="X93" s="10"/>
      <c r="Y93" s="8"/>
      <c r="Z93" s="8"/>
      <c r="AA93" s="9"/>
    </row>
    <row r="94" spans="2:27" s="33" customFormat="1" ht="18" customHeight="1" thickBot="1" x14ac:dyDescent="0.3">
      <c r="B94" s="34"/>
      <c r="C94" s="112" t="s">
        <v>46</v>
      </c>
      <c r="D94" s="56">
        <f>SUM(F94:U94)</f>
        <v>1.2</v>
      </c>
      <c r="E94" s="56"/>
      <c r="F94" s="10"/>
      <c r="G94" s="8"/>
      <c r="H94" s="8"/>
      <c r="I94" s="9"/>
      <c r="J94" s="10"/>
      <c r="K94" s="8"/>
      <c r="L94" s="8"/>
      <c r="M94" s="9"/>
      <c r="N94" s="10"/>
      <c r="O94" s="8"/>
      <c r="P94" s="8"/>
      <c r="Q94" s="9"/>
      <c r="R94" s="10"/>
      <c r="S94" s="29">
        <v>1.2</v>
      </c>
      <c r="T94" s="8"/>
      <c r="U94" s="9"/>
      <c r="X94" s="10"/>
      <c r="Y94" s="8"/>
      <c r="Z94" s="8"/>
      <c r="AA94" s="9"/>
    </row>
    <row r="95" spans="2:27" s="33" customFormat="1" ht="16.5" thickBot="1" x14ac:dyDescent="0.3">
      <c r="B95" s="34"/>
      <c r="C95" s="112"/>
      <c r="D95" s="57"/>
      <c r="E95" s="57">
        <f>SUM(F95:U95)</f>
        <v>1.3</v>
      </c>
      <c r="F95" s="10"/>
      <c r="G95" s="8"/>
      <c r="H95" s="8"/>
      <c r="I95" s="9"/>
      <c r="J95" s="10"/>
      <c r="K95" s="8"/>
      <c r="L95" s="8"/>
      <c r="M95" s="9"/>
      <c r="N95" s="10"/>
      <c r="O95" s="8"/>
      <c r="P95" s="8"/>
      <c r="Q95" s="9"/>
      <c r="R95" s="10"/>
      <c r="S95" s="94">
        <v>1.3</v>
      </c>
      <c r="T95" s="8"/>
      <c r="U95" s="9"/>
      <c r="X95" s="10"/>
      <c r="Y95" s="8"/>
      <c r="Z95" s="8"/>
      <c r="AA95" s="9"/>
    </row>
    <row r="96" spans="2:27" s="33" customFormat="1" ht="17.25" customHeight="1" thickBot="1" x14ac:dyDescent="0.3">
      <c r="B96" s="34"/>
      <c r="C96" s="112" t="s">
        <v>47</v>
      </c>
      <c r="D96" s="56">
        <f>SUM(F96:U96)</f>
        <v>0.8</v>
      </c>
      <c r="E96" s="56"/>
      <c r="F96" s="10"/>
      <c r="G96" s="8"/>
      <c r="H96" s="8"/>
      <c r="I96" s="9"/>
      <c r="J96" s="10"/>
      <c r="K96" s="8"/>
      <c r="L96" s="8"/>
      <c r="M96" s="9"/>
      <c r="N96" s="10"/>
      <c r="O96" s="8"/>
      <c r="P96" s="8"/>
      <c r="Q96" s="9"/>
      <c r="R96" s="10"/>
      <c r="S96" s="8"/>
      <c r="T96" s="29">
        <v>0.8</v>
      </c>
      <c r="U96" s="9"/>
      <c r="X96" s="10"/>
      <c r="Y96" s="8"/>
      <c r="Z96" s="8"/>
      <c r="AA96" s="9"/>
    </row>
    <row r="97" spans="2:46" s="33" customFormat="1" ht="16.5" thickBot="1" x14ac:dyDescent="0.3">
      <c r="B97" s="34"/>
      <c r="C97" s="112"/>
      <c r="D97" s="57"/>
      <c r="E97" s="57">
        <f>SUM(F97:U97)</f>
        <v>0.75</v>
      </c>
      <c r="F97" s="10"/>
      <c r="G97" s="8"/>
      <c r="H97" s="8"/>
      <c r="I97" s="9"/>
      <c r="J97" s="10"/>
      <c r="K97" s="8"/>
      <c r="L97" s="8"/>
      <c r="M97" s="9"/>
      <c r="N97" s="10"/>
      <c r="O97" s="8"/>
      <c r="P97" s="8"/>
      <c r="Q97" s="9"/>
      <c r="R97" s="10"/>
      <c r="S97" s="8"/>
      <c r="T97" s="94">
        <v>0.75</v>
      </c>
      <c r="U97" s="9"/>
      <c r="X97" s="10"/>
      <c r="Y97" s="8"/>
      <c r="Z97" s="8"/>
      <c r="AA97" s="9"/>
    </row>
    <row r="98" spans="2:46" s="33" customFormat="1" ht="16.5" thickBot="1" x14ac:dyDescent="0.3">
      <c r="B98" s="34"/>
      <c r="C98" s="112" t="s">
        <v>48</v>
      </c>
      <c r="D98" s="56">
        <f>SUM(F98:U98)</f>
        <v>0.45</v>
      </c>
      <c r="E98" s="56"/>
      <c r="F98" s="10"/>
      <c r="G98" s="8"/>
      <c r="H98" s="8"/>
      <c r="I98" s="9"/>
      <c r="J98" s="10"/>
      <c r="K98" s="8"/>
      <c r="L98" s="8"/>
      <c r="M98" s="9"/>
      <c r="N98" s="10"/>
      <c r="O98" s="8"/>
      <c r="P98" s="8"/>
      <c r="Q98" s="9"/>
      <c r="R98" s="10"/>
      <c r="S98" s="8"/>
      <c r="T98" s="29">
        <v>0.45</v>
      </c>
      <c r="U98" s="9"/>
      <c r="X98" s="10"/>
      <c r="Y98" s="8"/>
      <c r="Z98" s="8"/>
      <c r="AA98" s="9"/>
    </row>
    <row r="99" spans="2:46" s="33" customFormat="1" ht="16.5" thickBot="1" x14ac:dyDescent="0.3">
      <c r="B99" s="34"/>
      <c r="C99" s="112"/>
      <c r="D99" s="57"/>
      <c r="E99" s="57">
        <f>SUM(F99:U99)</f>
        <v>0.5</v>
      </c>
      <c r="F99" s="10"/>
      <c r="G99" s="8"/>
      <c r="H99" s="8"/>
      <c r="I99" s="9"/>
      <c r="J99" s="10"/>
      <c r="K99" s="8"/>
      <c r="L99" s="8"/>
      <c r="M99" s="9"/>
      <c r="N99" s="10"/>
      <c r="O99" s="8"/>
      <c r="P99" s="8"/>
      <c r="Q99" s="9"/>
      <c r="R99" s="10"/>
      <c r="S99" s="8"/>
      <c r="T99" s="94">
        <v>0.5</v>
      </c>
      <c r="U99" s="9"/>
      <c r="X99" s="10"/>
      <c r="Y99" s="8"/>
      <c r="Z99" s="8"/>
      <c r="AA99" s="9"/>
    </row>
    <row r="100" spans="2:46" s="33" customFormat="1" ht="15.75" customHeight="1" thickBot="1" x14ac:dyDescent="0.3">
      <c r="B100" s="34"/>
      <c r="C100" s="112" t="s">
        <v>20</v>
      </c>
      <c r="D100" s="56">
        <f>SUM(F100:U100)</f>
        <v>0.5</v>
      </c>
      <c r="E100" s="56"/>
      <c r="F100" s="10"/>
      <c r="G100" s="8"/>
      <c r="H100" s="8"/>
      <c r="I100" s="9"/>
      <c r="J100" s="10"/>
      <c r="K100" s="8"/>
      <c r="L100" s="8"/>
      <c r="M100" s="9"/>
      <c r="N100" s="10"/>
      <c r="O100" s="8"/>
      <c r="P100" s="8"/>
      <c r="Q100" s="9"/>
      <c r="R100" s="10"/>
      <c r="S100" s="8"/>
      <c r="T100" s="29">
        <v>0.5</v>
      </c>
      <c r="U100" s="9"/>
      <c r="X100" s="10"/>
      <c r="Y100" s="8"/>
      <c r="Z100" s="8"/>
      <c r="AA100" s="9"/>
    </row>
    <row r="101" spans="2:46" s="33" customFormat="1" ht="16.5" thickBot="1" x14ac:dyDescent="0.3">
      <c r="B101" s="34"/>
      <c r="C101" s="112"/>
      <c r="D101" s="57"/>
      <c r="E101" s="57">
        <f>SUM(F101:U101)</f>
        <v>0.45</v>
      </c>
      <c r="F101" s="10"/>
      <c r="G101" s="8"/>
      <c r="H101" s="8"/>
      <c r="I101" s="9"/>
      <c r="J101" s="10"/>
      <c r="K101" s="8"/>
      <c r="L101" s="8"/>
      <c r="M101" s="9"/>
      <c r="N101" s="10"/>
      <c r="O101" s="8"/>
      <c r="P101" s="8"/>
      <c r="Q101" s="9"/>
      <c r="R101" s="10"/>
      <c r="S101" s="8"/>
      <c r="T101" s="94">
        <v>0.45</v>
      </c>
      <c r="U101" s="9"/>
      <c r="X101" s="10"/>
      <c r="Y101" s="8"/>
      <c r="Z101" s="8"/>
      <c r="AA101" s="9"/>
    </row>
    <row r="102" spans="2:46" s="33" customFormat="1" ht="16.5" thickBot="1" x14ac:dyDescent="0.3">
      <c r="B102" s="34"/>
      <c r="C102" s="112" t="s">
        <v>21</v>
      </c>
      <c r="D102" s="99">
        <f>SUM(F102:U102)</f>
        <v>0.25</v>
      </c>
      <c r="E102" s="56"/>
      <c r="F102" s="10"/>
      <c r="G102" s="8"/>
      <c r="H102" s="8"/>
      <c r="I102" s="9"/>
      <c r="J102" s="10"/>
      <c r="K102" s="8"/>
      <c r="L102" s="8"/>
      <c r="M102" s="9"/>
      <c r="N102" s="10"/>
      <c r="O102" s="8"/>
      <c r="P102" s="8"/>
      <c r="Q102" s="9"/>
      <c r="R102" s="10"/>
      <c r="S102" s="8"/>
      <c r="T102" s="29">
        <v>0.25</v>
      </c>
      <c r="U102" s="9"/>
      <c r="X102" s="10"/>
      <c r="Y102" s="8"/>
      <c r="Z102" s="8"/>
      <c r="AA102" s="9"/>
    </row>
    <row r="103" spans="2:46" s="33" customFormat="1" ht="16.5" thickBot="1" x14ac:dyDescent="0.3">
      <c r="B103" s="34"/>
      <c r="C103" s="112"/>
      <c r="D103" s="99"/>
      <c r="E103" s="57">
        <f>SUM(F103:U103)</f>
        <v>0.25</v>
      </c>
      <c r="F103" s="10"/>
      <c r="G103" s="8"/>
      <c r="H103" s="8"/>
      <c r="I103" s="9"/>
      <c r="J103" s="10"/>
      <c r="K103" s="8"/>
      <c r="L103" s="8"/>
      <c r="M103" s="9"/>
      <c r="N103" s="10"/>
      <c r="O103" s="8"/>
      <c r="P103" s="8"/>
      <c r="Q103" s="9"/>
      <c r="R103" s="10"/>
      <c r="S103" s="8"/>
      <c r="T103" s="94">
        <v>0.25</v>
      </c>
      <c r="U103" s="9"/>
      <c r="X103" s="10"/>
      <c r="Y103" s="8"/>
      <c r="Z103" s="8"/>
      <c r="AA103" s="9"/>
    </row>
    <row r="104" spans="2:46" s="33" customFormat="1" ht="16.5" thickBot="1" x14ac:dyDescent="0.3">
      <c r="B104" s="34"/>
      <c r="C104" s="112" t="s">
        <v>42</v>
      </c>
      <c r="D104" s="56">
        <f>SUM(F104:U104)</f>
        <v>0.5</v>
      </c>
      <c r="E104" s="56"/>
      <c r="F104" s="10"/>
      <c r="G104" s="8"/>
      <c r="H104" s="8"/>
      <c r="I104" s="9"/>
      <c r="J104" s="10"/>
      <c r="K104" s="8"/>
      <c r="L104" s="8"/>
      <c r="M104" s="9"/>
      <c r="N104" s="10"/>
      <c r="O104" s="8"/>
      <c r="P104" s="8"/>
      <c r="Q104" s="9"/>
      <c r="R104" s="10"/>
      <c r="S104" s="8"/>
      <c r="T104" s="29">
        <v>0.5</v>
      </c>
      <c r="U104" s="9"/>
      <c r="X104" s="10"/>
      <c r="Y104" s="8"/>
      <c r="Z104" s="8"/>
      <c r="AA104" s="9"/>
    </row>
    <row r="105" spans="2:46" s="33" customFormat="1" ht="16.5" thickBot="1" x14ac:dyDescent="0.3">
      <c r="B105" s="34"/>
      <c r="C105" s="112"/>
      <c r="D105" s="57"/>
      <c r="E105" s="57">
        <f>SUM(F105:U105)</f>
        <v>0.3</v>
      </c>
      <c r="F105" s="10"/>
      <c r="G105" s="8"/>
      <c r="H105" s="8"/>
      <c r="I105" s="9"/>
      <c r="J105" s="10"/>
      <c r="K105" s="8"/>
      <c r="L105" s="8"/>
      <c r="M105" s="9"/>
      <c r="N105" s="10"/>
      <c r="O105" s="8"/>
      <c r="P105" s="8"/>
      <c r="Q105" s="9"/>
      <c r="R105" s="10"/>
      <c r="S105" s="8"/>
      <c r="T105" s="94">
        <v>0.3</v>
      </c>
      <c r="U105" s="9"/>
      <c r="X105" s="10"/>
      <c r="Y105" s="8"/>
      <c r="Z105" s="8"/>
      <c r="AA105" s="9"/>
      <c r="AT105" s="146"/>
    </row>
    <row r="106" spans="2:46" s="33" customFormat="1" ht="16.5" thickBot="1" x14ac:dyDescent="0.3">
      <c r="B106" s="34"/>
      <c r="C106" s="137" t="s">
        <v>49</v>
      </c>
      <c r="D106" s="56">
        <f>SUM(F106:U106)</f>
        <v>2</v>
      </c>
      <c r="E106" s="56"/>
      <c r="F106" s="10"/>
      <c r="G106" s="8"/>
      <c r="H106" s="8"/>
      <c r="I106" s="9"/>
      <c r="J106" s="10"/>
      <c r="K106" s="8"/>
      <c r="L106" s="8"/>
      <c r="M106" s="9"/>
      <c r="N106" s="10"/>
      <c r="O106" s="8"/>
      <c r="P106" s="8"/>
      <c r="Q106" s="9"/>
      <c r="R106" s="10"/>
      <c r="S106" s="8"/>
      <c r="T106" s="29">
        <v>2</v>
      </c>
      <c r="U106" s="9"/>
      <c r="X106" s="10"/>
      <c r="Y106" s="8"/>
      <c r="Z106" s="8"/>
      <c r="AA106" s="9"/>
    </row>
    <row r="107" spans="2:46" s="33" customFormat="1" ht="16.5" thickBot="1" x14ac:dyDescent="0.3">
      <c r="B107" s="34"/>
      <c r="C107" s="137"/>
      <c r="D107" s="57"/>
      <c r="E107" s="57">
        <f>SUM(F107:U107)</f>
        <v>1.75</v>
      </c>
      <c r="F107" s="10"/>
      <c r="G107" s="8"/>
      <c r="H107" s="8"/>
      <c r="I107" s="9"/>
      <c r="J107" s="10"/>
      <c r="K107" s="8"/>
      <c r="L107" s="8"/>
      <c r="M107" s="9"/>
      <c r="N107" s="10"/>
      <c r="O107" s="8"/>
      <c r="P107" s="8"/>
      <c r="Q107" s="9"/>
      <c r="R107" s="10"/>
      <c r="S107" s="8"/>
      <c r="T107" s="94">
        <v>1.75</v>
      </c>
      <c r="U107" s="9"/>
      <c r="X107" s="10"/>
      <c r="Y107" s="8"/>
      <c r="Z107" s="8"/>
      <c r="AA107" s="9"/>
    </row>
    <row r="108" spans="2:46" s="33" customFormat="1" ht="16.5" customHeight="1" x14ac:dyDescent="0.25">
      <c r="B108" s="34"/>
      <c r="C108" s="133" t="s">
        <v>50</v>
      </c>
      <c r="D108" s="56">
        <f>SUM(F108:U108)</f>
        <v>0.75</v>
      </c>
      <c r="E108" s="56"/>
      <c r="F108" s="10"/>
      <c r="G108" s="8"/>
      <c r="H108" s="8"/>
      <c r="I108" s="9"/>
      <c r="J108" s="10"/>
      <c r="K108" s="8"/>
      <c r="L108" s="8"/>
      <c r="M108" s="9"/>
      <c r="N108" s="10"/>
      <c r="O108" s="8"/>
      <c r="P108" s="8"/>
      <c r="Q108" s="9"/>
      <c r="R108" s="10"/>
      <c r="S108" s="8"/>
      <c r="T108" s="8"/>
      <c r="U108" s="29">
        <v>0.75</v>
      </c>
      <c r="X108" s="10"/>
      <c r="Y108" s="8"/>
      <c r="Z108" s="8"/>
      <c r="AA108" s="9"/>
    </row>
    <row r="109" spans="2:46" s="33" customFormat="1" ht="16.5" customHeight="1" thickBot="1" x14ac:dyDescent="0.3">
      <c r="B109" s="34"/>
      <c r="C109" s="134"/>
      <c r="D109" s="57"/>
      <c r="E109" s="57">
        <f>SUM(F109:U109)</f>
        <v>0.7</v>
      </c>
      <c r="F109" s="10"/>
      <c r="G109" s="8"/>
      <c r="H109" s="8"/>
      <c r="I109" s="9"/>
      <c r="J109" s="10"/>
      <c r="K109" s="8"/>
      <c r="L109" s="8"/>
      <c r="M109" s="9"/>
      <c r="N109" s="10"/>
      <c r="O109" s="8"/>
      <c r="P109" s="8"/>
      <c r="Q109" s="9"/>
      <c r="R109" s="10"/>
      <c r="S109" s="8"/>
      <c r="T109" s="8"/>
      <c r="U109" s="94">
        <v>0.7</v>
      </c>
      <c r="X109" s="10"/>
      <c r="Y109" s="8"/>
      <c r="Z109" s="8"/>
      <c r="AA109" s="9"/>
    </row>
    <row r="110" spans="2:46" s="33" customFormat="1" ht="16.5" customHeight="1" x14ac:dyDescent="0.25">
      <c r="B110" s="34"/>
      <c r="C110" s="133" t="s">
        <v>65</v>
      </c>
      <c r="D110" s="99">
        <f>SUM(F110:AA110)</f>
        <v>0.3</v>
      </c>
      <c r="E110" s="56"/>
      <c r="F110" s="10"/>
      <c r="G110" s="8"/>
      <c r="H110" s="8"/>
      <c r="I110" s="9"/>
      <c r="J110" s="10"/>
      <c r="K110" s="8"/>
      <c r="L110" s="8"/>
      <c r="M110" s="9"/>
      <c r="N110" s="10"/>
      <c r="O110" s="8"/>
      <c r="P110" s="8"/>
      <c r="Q110" s="9"/>
      <c r="R110" s="10"/>
      <c r="S110" s="8"/>
      <c r="T110" s="8"/>
      <c r="U110" s="29">
        <v>0.3</v>
      </c>
      <c r="X110" s="10"/>
      <c r="Y110" s="8"/>
      <c r="Z110" s="8"/>
      <c r="AA110" s="9"/>
    </row>
    <row r="111" spans="2:46" s="33" customFormat="1" ht="16.5" customHeight="1" thickBot="1" x14ac:dyDescent="0.3">
      <c r="B111" s="34"/>
      <c r="C111" s="134"/>
      <c r="D111" s="99"/>
      <c r="E111" s="57">
        <f>SUM(F111:AA111)</f>
        <v>0.4</v>
      </c>
      <c r="F111" s="10"/>
      <c r="G111" s="8"/>
      <c r="H111" s="8"/>
      <c r="I111" s="9"/>
      <c r="J111" s="10"/>
      <c r="K111" s="8"/>
      <c r="L111" s="8"/>
      <c r="M111" s="9"/>
      <c r="N111" s="10"/>
      <c r="O111" s="8"/>
      <c r="P111" s="8"/>
      <c r="Q111" s="9"/>
      <c r="R111" s="10"/>
      <c r="S111" s="8"/>
      <c r="T111" s="8"/>
      <c r="U111" s="94">
        <v>0.4</v>
      </c>
      <c r="X111" s="10"/>
      <c r="Y111" s="8"/>
      <c r="Z111" s="8"/>
      <c r="AA111" s="9"/>
    </row>
    <row r="112" spans="2:46" s="33" customFormat="1" ht="16.5" customHeight="1" x14ac:dyDescent="0.25">
      <c r="B112" s="34"/>
      <c r="C112" s="133" t="s">
        <v>66</v>
      </c>
      <c r="D112" s="56">
        <f>SUM(F112:AA112)</f>
        <v>0.25</v>
      </c>
      <c r="E112" s="56"/>
      <c r="F112" s="10"/>
      <c r="G112" s="8"/>
      <c r="H112" s="8"/>
      <c r="I112" s="9"/>
      <c r="J112" s="10"/>
      <c r="K112" s="8"/>
      <c r="L112" s="8"/>
      <c r="M112" s="9"/>
      <c r="N112" s="10"/>
      <c r="O112" s="8"/>
      <c r="P112" s="8"/>
      <c r="Q112" s="9"/>
      <c r="R112" s="10"/>
      <c r="S112" s="8"/>
      <c r="T112" s="8"/>
      <c r="U112" s="29">
        <v>0.25</v>
      </c>
      <c r="X112" s="10"/>
      <c r="Y112" s="8"/>
      <c r="Z112" s="8"/>
      <c r="AA112" s="9"/>
    </row>
    <row r="113" spans="2:45" s="33" customFormat="1" ht="16.5" customHeight="1" thickBot="1" x14ac:dyDescent="0.3">
      <c r="B113" s="34"/>
      <c r="C113" s="134"/>
      <c r="D113" s="57"/>
      <c r="E113" s="57">
        <f>SUM(F113:AA113)</f>
        <v>0.25</v>
      </c>
      <c r="F113" s="10"/>
      <c r="G113" s="8"/>
      <c r="H113" s="8"/>
      <c r="I113" s="9"/>
      <c r="J113" s="10"/>
      <c r="K113" s="8"/>
      <c r="L113" s="8"/>
      <c r="M113" s="9"/>
      <c r="N113" s="10"/>
      <c r="O113" s="8"/>
      <c r="P113" s="8"/>
      <c r="Q113" s="9"/>
      <c r="R113" s="10"/>
      <c r="S113" s="8"/>
      <c r="T113" s="8"/>
      <c r="U113" s="144">
        <v>0.25</v>
      </c>
      <c r="X113" s="10"/>
      <c r="Y113" s="8"/>
      <c r="Z113" s="8"/>
      <c r="AA113" s="9"/>
    </row>
    <row r="114" spans="2:45" s="33" customFormat="1" ht="18.75" thickBot="1" x14ac:dyDescent="0.3">
      <c r="B114" s="34"/>
      <c r="C114" s="58"/>
      <c r="D114" s="60"/>
      <c r="E114" s="60"/>
      <c r="F114" s="10"/>
      <c r="G114" s="8"/>
      <c r="H114" s="8"/>
      <c r="I114" s="9"/>
      <c r="J114" s="10"/>
      <c r="K114" s="8"/>
      <c r="L114" s="8"/>
      <c r="M114" s="9"/>
      <c r="N114" s="10"/>
      <c r="O114" s="8"/>
      <c r="P114" s="8"/>
      <c r="Q114" s="9"/>
      <c r="R114" s="10"/>
      <c r="S114" s="8"/>
      <c r="T114" s="8"/>
      <c r="U114" s="9"/>
      <c r="X114" s="10"/>
      <c r="Y114" s="8"/>
      <c r="Z114" s="8"/>
      <c r="AA114" s="9"/>
    </row>
    <row r="115" spans="2:45" s="33" customFormat="1" ht="18.75" thickBot="1" x14ac:dyDescent="0.3">
      <c r="B115" s="51"/>
      <c r="C115" s="61" t="s">
        <v>61</v>
      </c>
      <c r="D115" s="62"/>
      <c r="E115" s="63"/>
      <c r="F115" s="25"/>
      <c r="G115" s="26"/>
      <c r="H115" s="26"/>
      <c r="I115" s="27"/>
      <c r="J115" s="25"/>
      <c r="K115" s="26"/>
      <c r="L115" s="26"/>
      <c r="M115" s="27"/>
      <c r="N115" s="25"/>
      <c r="O115" s="26"/>
      <c r="P115" s="26"/>
      <c r="Q115" s="27"/>
      <c r="R115" s="25"/>
      <c r="S115" s="26"/>
      <c r="T115" s="26"/>
      <c r="U115" s="27"/>
      <c r="V115" s="27"/>
      <c r="W115" s="27"/>
      <c r="X115" s="27"/>
      <c r="Y115" s="27"/>
      <c r="Z115" s="27"/>
      <c r="AA115" s="27"/>
    </row>
    <row r="116" spans="2:45" s="33" customFormat="1" ht="15.75" x14ac:dyDescent="0.25">
      <c r="B116" s="51"/>
      <c r="C116" s="133" t="s">
        <v>62</v>
      </c>
      <c r="D116" s="56">
        <f>SUM(F116:AA116)</f>
        <v>2</v>
      </c>
      <c r="E116" s="56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30">
        <v>2</v>
      </c>
      <c r="Y116" s="10"/>
      <c r="Z116" s="10"/>
      <c r="AA116" s="10"/>
    </row>
    <row r="117" spans="2:45" s="33" customFormat="1" ht="16.5" thickBot="1" x14ac:dyDescent="0.3">
      <c r="B117" s="51"/>
      <c r="C117" s="134"/>
      <c r="D117" s="57"/>
      <c r="E117" s="57">
        <f>SUM(F117:AA117)</f>
        <v>1.75</v>
      </c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44">
        <v>1.75</v>
      </c>
      <c r="Y117" s="10"/>
      <c r="Z117" s="10"/>
      <c r="AA117" s="10"/>
    </row>
    <row r="118" spans="2:45" s="33" customFormat="1" ht="15.75" x14ac:dyDescent="0.25">
      <c r="B118" s="51"/>
      <c r="C118" s="133" t="s">
        <v>63</v>
      </c>
      <c r="D118" s="56">
        <f>SUM(F118:AA118)</f>
        <v>0.25</v>
      </c>
      <c r="E118" s="56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45"/>
      <c r="U118" s="10"/>
      <c r="V118" s="10"/>
      <c r="W118" s="10"/>
      <c r="X118" s="10"/>
      <c r="Y118" s="30">
        <v>0.25</v>
      </c>
      <c r="Z118" s="10"/>
      <c r="AA118" s="10"/>
    </row>
    <row r="119" spans="2:45" s="33" customFormat="1" ht="16.5" thickBot="1" x14ac:dyDescent="0.3">
      <c r="B119" s="51"/>
      <c r="C119" s="134"/>
      <c r="D119" s="57"/>
      <c r="E119" s="57">
        <f>SUM(F119:AA119)</f>
        <v>0.25</v>
      </c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44">
        <v>0.25</v>
      </c>
      <c r="Z119" s="10"/>
      <c r="AA119" s="10"/>
    </row>
    <row r="120" spans="2:45" s="33" customFormat="1" ht="19.5" thickTop="1" thickBot="1" x14ac:dyDescent="0.3">
      <c r="B120" s="51"/>
      <c r="C120" s="61" t="s">
        <v>51</v>
      </c>
      <c r="D120" s="62"/>
      <c r="E120" s="63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115" t="s">
        <v>52</v>
      </c>
      <c r="AC120" s="116"/>
      <c r="AD120" s="117"/>
      <c r="AE120" s="65">
        <f>SUM(D10:D121)</f>
        <v>37.674999999999997</v>
      </c>
      <c r="AF120" s="66"/>
      <c r="AG120" s="67" t="s">
        <v>53</v>
      </c>
      <c r="AS120" s="93"/>
    </row>
    <row r="121" spans="2:45" s="33" customFormat="1" ht="19.5" thickTop="1" thickBot="1" x14ac:dyDescent="0.3">
      <c r="B121" s="34"/>
      <c r="C121" s="132" t="s">
        <v>54</v>
      </c>
      <c r="D121" s="56">
        <f>SUM(F121:AA121)</f>
        <v>3.4250000000000003</v>
      </c>
      <c r="E121" s="56"/>
      <c r="F121" s="10"/>
      <c r="G121" s="8"/>
      <c r="H121" s="8"/>
      <c r="I121" s="30">
        <v>0.8</v>
      </c>
      <c r="J121" s="10"/>
      <c r="K121" s="8"/>
      <c r="L121" s="8"/>
      <c r="M121" s="30">
        <v>0.8</v>
      </c>
      <c r="N121" s="10"/>
      <c r="O121" s="8"/>
      <c r="P121" s="8"/>
      <c r="Q121" s="30">
        <v>0.8</v>
      </c>
      <c r="R121" s="10"/>
      <c r="S121" s="8"/>
      <c r="T121" s="8"/>
      <c r="U121" s="30">
        <v>0.8</v>
      </c>
      <c r="X121" s="10"/>
      <c r="Y121" s="8"/>
      <c r="Z121" s="8"/>
      <c r="AA121" s="30">
        <v>0.22500000000000001</v>
      </c>
      <c r="AB121" s="115" t="s">
        <v>55</v>
      </c>
      <c r="AC121" s="116"/>
      <c r="AD121" s="117"/>
      <c r="AE121" s="68"/>
      <c r="AF121" s="65">
        <f>SUM(E10:E122)</f>
        <v>37.499999999999993</v>
      </c>
      <c r="AG121" s="67" t="s">
        <v>53</v>
      </c>
      <c r="AS121" s="93"/>
    </row>
    <row r="122" spans="2:45" s="33" customFormat="1" ht="18.75" thickBot="1" x14ac:dyDescent="0.3">
      <c r="B122" s="34"/>
      <c r="C122" s="132"/>
      <c r="D122" s="57"/>
      <c r="E122" s="57">
        <f>SUM(F122:AA122)</f>
        <v>3.2</v>
      </c>
      <c r="F122" s="31"/>
      <c r="G122" s="32"/>
      <c r="H122" s="32"/>
      <c r="I122" s="98">
        <v>0.75</v>
      </c>
      <c r="J122" s="31"/>
      <c r="K122" s="32"/>
      <c r="L122" s="32"/>
      <c r="M122" s="98">
        <v>0.5</v>
      </c>
      <c r="N122" s="31"/>
      <c r="O122" s="32"/>
      <c r="P122" s="32"/>
      <c r="Q122" s="98">
        <v>0.75</v>
      </c>
      <c r="R122" s="31"/>
      <c r="S122" s="32"/>
      <c r="T122" s="32"/>
      <c r="U122" s="98">
        <v>1</v>
      </c>
      <c r="X122" s="31"/>
      <c r="Y122" s="32"/>
      <c r="Z122" s="32"/>
      <c r="AA122" s="98">
        <v>0.2</v>
      </c>
      <c r="AB122" s="69"/>
      <c r="AC122" s="69"/>
      <c r="AD122" s="69"/>
      <c r="AE122" s="68"/>
      <c r="AF122" s="68"/>
      <c r="AG122" s="69"/>
      <c r="AS122" s="93"/>
    </row>
    <row r="123" spans="2:45" s="42" customFormat="1" ht="19.5" thickTop="1" thickBot="1" x14ac:dyDescent="0.3">
      <c r="B123" s="43"/>
      <c r="C123" s="70" t="s">
        <v>56</v>
      </c>
      <c r="D123" s="56">
        <f>SUM(D10:D122)</f>
        <v>37.674999999999997</v>
      </c>
      <c r="E123" s="71">
        <f>SUM(E10:E122)</f>
        <v>37.499999999999993</v>
      </c>
      <c r="V123" s="44"/>
      <c r="W123" s="44"/>
      <c r="X123" s="44"/>
      <c r="Y123" s="44"/>
      <c r="Z123" s="44"/>
      <c r="AB123" s="115" t="s">
        <v>57</v>
      </c>
      <c r="AC123" s="116"/>
      <c r="AD123" s="117"/>
      <c r="AE123" s="128">
        <f>IF((AE120-AF121)&gt;0,(AE120-AF121),(AE120-AF121)*(1))</f>
        <v>0.17500000000000426</v>
      </c>
      <c r="AF123" s="129"/>
      <c r="AG123" s="67" t="s">
        <v>53</v>
      </c>
      <c r="AS123" s="92"/>
    </row>
    <row r="124" spans="2:45" s="42" customFormat="1" ht="18" x14ac:dyDescent="0.25">
      <c r="B124" s="43"/>
      <c r="D124" s="86"/>
      <c r="E124" s="87"/>
      <c r="F124" s="124" t="s">
        <v>12</v>
      </c>
      <c r="G124" s="124"/>
      <c r="H124" s="124"/>
      <c r="I124" s="125"/>
      <c r="J124" s="138" t="s">
        <v>12</v>
      </c>
      <c r="K124" s="138"/>
      <c r="L124" s="138"/>
      <c r="M124" s="139"/>
      <c r="N124" s="140" t="s">
        <v>12</v>
      </c>
      <c r="O124" s="140"/>
      <c r="P124" s="140"/>
      <c r="Q124" s="141"/>
      <c r="R124" s="126" t="s">
        <v>25</v>
      </c>
      <c r="S124" s="127"/>
      <c r="T124" s="127"/>
      <c r="U124" s="127"/>
      <c r="V124" s="72"/>
      <c r="W124" s="72"/>
      <c r="X124" s="142" t="s">
        <v>60</v>
      </c>
      <c r="Y124" s="143"/>
      <c r="Z124" s="143"/>
      <c r="AA124" s="143"/>
      <c r="AB124" s="73"/>
      <c r="AC124" s="73"/>
      <c r="AD124" s="73"/>
      <c r="AE124" s="74"/>
      <c r="AF124" s="74"/>
      <c r="AG124" s="69"/>
      <c r="AS124" s="92"/>
    </row>
    <row r="125" spans="2:45" s="33" customFormat="1" ht="18" x14ac:dyDescent="0.25">
      <c r="B125" s="34"/>
      <c r="C125" s="85" t="s">
        <v>58</v>
      </c>
      <c r="D125" s="75"/>
      <c r="E125" s="88"/>
      <c r="F125" s="76"/>
      <c r="G125" s="76"/>
      <c r="H125" s="76"/>
      <c r="I125" s="76"/>
      <c r="J125" s="76"/>
      <c r="K125" s="76"/>
      <c r="L125" s="76"/>
      <c r="M125" s="76"/>
      <c r="N125" s="76"/>
      <c r="O125" s="76"/>
      <c r="P125" s="76"/>
      <c r="Q125" s="76"/>
      <c r="R125" s="76"/>
      <c r="S125" s="76"/>
      <c r="T125" s="76"/>
      <c r="U125" s="76"/>
      <c r="V125" s="76"/>
      <c r="W125" s="78"/>
      <c r="X125" s="78"/>
      <c r="Y125" s="78"/>
      <c r="Z125" s="78"/>
      <c r="AB125" s="76"/>
      <c r="AC125" s="76"/>
      <c r="AD125" s="76"/>
      <c r="AE125" s="55"/>
      <c r="AF125" s="55"/>
    </row>
    <row r="126" spans="2:45" s="33" customFormat="1" ht="18" x14ac:dyDescent="0.25">
      <c r="B126" s="34"/>
      <c r="C126" s="79"/>
      <c r="D126" s="75"/>
      <c r="E126" s="88"/>
      <c r="F126" s="76"/>
      <c r="G126" s="76"/>
      <c r="H126" s="76"/>
      <c r="I126" s="76"/>
      <c r="J126" s="76"/>
      <c r="K126" s="76"/>
      <c r="L126" s="76"/>
      <c r="M126" s="76"/>
      <c r="N126" s="76"/>
      <c r="O126" s="76"/>
      <c r="P126" s="76"/>
      <c r="Q126" s="76"/>
      <c r="R126" s="76"/>
      <c r="S126" s="76"/>
      <c r="T126" s="76"/>
      <c r="U126" s="76"/>
      <c r="V126" s="78"/>
      <c r="W126" s="76"/>
      <c r="X126" s="76"/>
      <c r="Y126" s="76"/>
      <c r="Z126" s="76"/>
      <c r="AC126" s="120">
        <f>IF((AE123)&lt;=0,(AE123/24)*(-1),AE123/24)</f>
        <v>7.2916666666668446E-3</v>
      </c>
      <c r="AD126" s="120"/>
      <c r="AE126" s="120"/>
      <c r="AF126" s="55"/>
    </row>
    <row r="127" spans="2:45" s="33" customFormat="1" ht="18" x14ac:dyDescent="0.2">
      <c r="B127" s="34"/>
      <c r="C127" s="77" t="s">
        <v>59</v>
      </c>
      <c r="D127" s="80"/>
      <c r="E127" s="89"/>
      <c r="V127" s="55"/>
      <c r="W127" s="55"/>
      <c r="X127" s="55"/>
      <c r="Y127" s="55"/>
      <c r="Z127" s="55"/>
    </row>
    <row r="128" spans="2:45" hidden="1" x14ac:dyDescent="0.2">
      <c r="E128" s="90"/>
    </row>
    <row r="129" spans="5:5" hidden="1" x14ac:dyDescent="0.2">
      <c r="E129" s="90"/>
    </row>
    <row r="130" spans="5:5" hidden="1" x14ac:dyDescent="0.2">
      <c r="E130" s="90"/>
    </row>
    <row r="131" spans="5:5" hidden="1" x14ac:dyDescent="0.2">
      <c r="E131" s="90"/>
    </row>
    <row r="132" spans="5:5" hidden="1" x14ac:dyDescent="0.2">
      <c r="E132" s="90"/>
    </row>
    <row r="133" spans="5:5" hidden="1" x14ac:dyDescent="0.2">
      <c r="E133" s="90"/>
    </row>
    <row r="134" spans="5:5" hidden="1" x14ac:dyDescent="0.2">
      <c r="E134" s="90"/>
    </row>
    <row r="135" spans="5:5" hidden="1" x14ac:dyDescent="0.2">
      <c r="E135" s="90"/>
    </row>
    <row r="136" spans="5:5" hidden="1" x14ac:dyDescent="0.2">
      <c r="E136" s="90"/>
    </row>
    <row r="137" spans="5:5" hidden="1" x14ac:dyDescent="0.2">
      <c r="E137" s="90"/>
    </row>
    <row r="138" spans="5:5" hidden="1" x14ac:dyDescent="0.2">
      <c r="E138" s="90"/>
    </row>
    <row r="139" spans="5:5" hidden="1" x14ac:dyDescent="0.2">
      <c r="E139" s="90"/>
    </row>
    <row r="140" spans="5:5" hidden="1" x14ac:dyDescent="0.2">
      <c r="E140" s="90"/>
    </row>
    <row r="141" spans="5:5" hidden="1" x14ac:dyDescent="0.2">
      <c r="E141" s="90"/>
    </row>
    <row r="142" spans="5:5" hidden="1" x14ac:dyDescent="0.2">
      <c r="E142" s="90"/>
    </row>
    <row r="143" spans="5:5" hidden="1" x14ac:dyDescent="0.2">
      <c r="E143" s="90"/>
    </row>
    <row r="144" spans="5:5" hidden="1" x14ac:dyDescent="0.2">
      <c r="E144" s="90"/>
    </row>
    <row r="145" spans="5:5" hidden="1" x14ac:dyDescent="0.2">
      <c r="E145" s="90"/>
    </row>
    <row r="146" spans="5:5" hidden="1" x14ac:dyDescent="0.2">
      <c r="E146" s="90"/>
    </row>
    <row r="147" spans="5:5" hidden="1" x14ac:dyDescent="0.2">
      <c r="E147" s="90"/>
    </row>
    <row r="148" spans="5:5" hidden="1" x14ac:dyDescent="0.2">
      <c r="E148" s="90"/>
    </row>
    <row r="149" spans="5:5" hidden="1" x14ac:dyDescent="0.2">
      <c r="E149" s="90"/>
    </row>
    <row r="150" spans="5:5" hidden="1" x14ac:dyDescent="0.2">
      <c r="E150" s="90"/>
    </row>
    <row r="151" spans="5:5" hidden="1" x14ac:dyDescent="0.2">
      <c r="E151" s="90"/>
    </row>
    <row r="152" spans="5:5" hidden="1" x14ac:dyDescent="0.2">
      <c r="E152" s="90"/>
    </row>
    <row r="153" spans="5:5" hidden="1" x14ac:dyDescent="0.2">
      <c r="E153" s="90"/>
    </row>
    <row r="154" spans="5:5" hidden="1" x14ac:dyDescent="0.2">
      <c r="E154" s="90"/>
    </row>
    <row r="155" spans="5:5" hidden="1" x14ac:dyDescent="0.2">
      <c r="E155" s="90"/>
    </row>
    <row r="156" spans="5:5" hidden="1" x14ac:dyDescent="0.2">
      <c r="E156" s="90"/>
    </row>
    <row r="157" spans="5:5" hidden="1" x14ac:dyDescent="0.2">
      <c r="E157" s="90"/>
    </row>
    <row r="158" spans="5:5" hidden="1" x14ac:dyDescent="0.2">
      <c r="E158" s="90"/>
    </row>
    <row r="159" spans="5:5" hidden="1" x14ac:dyDescent="0.2">
      <c r="E159" s="90"/>
    </row>
    <row r="160" spans="5:5" hidden="1" x14ac:dyDescent="0.2">
      <c r="E160" s="90"/>
    </row>
    <row r="161" spans="5:5" hidden="1" x14ac:dyDescent="0.2">
      <c r="E161" s="90"/>
    </row>
    <row r="162" spans="5:5" hidden="1" x14ac:dyDescent="0.2">
      <c r="E162" s="90"/>
    </row>
    <row r="163" spans="5:5" hidden="1" x14ac:dyDescent="0.2">
      <c r="E163" s="90"/>
    </row>
    <row r="164" spans="5:5" hidden="1" x14ac:dyDescent="0.2">
      <c r="E164" s="90"/>
    </row>
    <row r="165" spans="5:5" hidden="1" x14ac:dyDescent="0.2">
      <c r="E165" s="90"/>
    </row>
    <row r="166" spans="5:5" hidden="1" x14ac:dyDescent="0.2">
      <c r="E166" s="90"/>
    </row>
    <row r="167" spans="5:5" hidden="1" x14ac:dyDescent="0.2">
      <c r="E167" s="90"/>
    </row>
    <row r="168" spans="5:5" hidden="1" x14ac:dyDescent="0.2">
      <c r="E168" s="90"/>
    </row>
    <row r="169" spans="5:5" hidden="1" x14ac:dyDescent="0.2">
      <c r="E169" s="90"/>
    </row>
    <row r="170" spans="5:5" hidden="1" x14ac:dyDescent="0.2">
      <c r="E170" s="90"/>
    </row>
    <row r="171" spans="5:5" hidden="1" x14ac:dyDescent="0.2">
      <c r="E171" s="90"/>
    </row>
    <row r="172" spans="5:5" hidden="1" x14ac:dyDescent="0.2">
      <c r="E172" s="90"/>
    </row>
    <row r="173" spans="5:5" hidden="1" x14ac:dyDescent="0.2">
      <c r="E173" s="90"/>
    </row>
    <row r="174" spans="5:5" hidden="1" x14ac:dyDescent="0.2">
      <c r="E174" s="90"/>
    </row>
    <row r="175" spans="5:5" hidden="1" x14ac:dyDescent="0.2">
      <c r="E175" s="90"/>
    </row>
    <row r="176" spans="5:5" hidden="1" x14ac:dyDescent="0.2">
      <c r="E176" s="90"/>
    </row>
    <row r="177" spans="5:5" hidden="1" x14ac:dyDescent="0.2">
      <c r="E177" s="90"/>
    </row>
    <row r="178" spans="5:5" hidden="1" x14ac:dyDescent="0.2">
      <c r="E178" s="90"/>
    </row>
    <row r="179" spans="5:5" hidden="1" x14ac:dyDescent="0.2">
      <c r="E179" s="90"/>
    </row>
    <row r="180" spans="5:5" hidden="1" x14ac:dyDescent="0.2">
      <c r="E180" s="90"/>
    </row>
    <row r="181" spans="5:5" hidden="1" x14ac:dyDescent="0.2">
      <c r="E181" s="90"/>
    </row>
    <row r="182" spans="5:5" hidden="1" x14ac:dyDescent="0.2">
      <c r="E182" s="90"/>
    </row>
    <row r="183" spans="5:5" hidden="1" x14ac:dyDescent="0.2">
      <c r="E183" s="90"/>
    </row>
    <row r="184" spans="5:5" hidden="1" x14ac:dyDescent="0.2">
      <c r="E184" s="90"/>
    </row>
    <row r="185" spans="5:5" hidden="1" x14ac:dyDescent="0.2">
      <c r="E185" s="90"/>
    </row>
    <row r="186" spans="5:5" hidden="1" x14ac:dyDescent="0.2">
      <c r="E186" s="90"/>
    </row>
    <row r="187" spans="5:5" hidden="1" x14ac:dyDescent="0.2">
      <c r="E187" s="90"/>
    </row>
    <row r="188" spans="5:5" hidden="1" x14ac:dyDescent="0.2">
      <c r="E188" s="90"/>
    </row>
    <row r="189" spans="5:5" hidden="1" x14ac:dyDescent="0.2">
      <c r="E189" s="90"/>
    </row>
    <row r="190" spans="5:5" hidden="1" x14ac:dyDescent="0.2">
      <c r="E190" s="90"/>
    </row>
    <row r="191" spans="5:5" hidden="1" x14ac:dyDescent="0.2">
      <c r="E191" s="90"/>
    </row>
    <row r="192" spans="5:5" hidden="1" x14ac:dyDescent="0.2">
      <c r="E192" s="90"/>
    </row>
    <row r="193" spans="5:5" hidden="1" x14ac:dyDescent="0.2">
      <c r="E193" s="90"/>
    </row>
    <row r="194" spans="5:5" hidden="1" x14ac:dyDescent="0.2">
      <c r="E194" s="90"/>
    </row>
    <row r="195" spans="5:5" hidden="1" x14ac:dyDescent="0.2">
      <c r="E195" s="90"/>
    </row>
    <row r="196" spans="5:5" hidden="1" x14ac:dyDescent="0.2">
      <c r="E196" s="90"/>
    </row>
    <row r="197" spans="5:5" hidden="1" x14ac:dyDescent="0.2">
      <c r="E197" s="90"/>
    </row>
    <row r="198" spans="5:5" hidden="1" x14ac:dyDescent="0.2">
      <c r="E198" s="90"/>
    </row>
    <row r="199" spans="5:5" hidden="1" x14ac:dyDescent="0.2">
      <c r="E199" s="90"/>
    </row>
    <row r="200" spans="5:5" hidden="1" x14ac:dyDescent="0.2">
      <c r="E200" s="90"/>
    </row>
    <row r="201" spans="5:5" hidden="1" x14ac:dyDescent="0.2">
      <c r="E201" s="90"/>
    </row>
    <row r="202" spans="5:5" hidden="1" x14ac:dyDescent="0.2">
      <c r="E202" s="90"/>
    </row>
    <row r="203" spans="5:5" hidden="1" x14ac:dyDescent="0.2">
      <c r="E203" s="90"/>
    </row>
    <row r="204" spans="5:5" hidden="1" x14ac:dyDescent="0.2">
      <c r="E204" s="90"/>
    </row>
    <row r="205" spans="5:5" hidden="1" x14ac:dyDescent="0.2">
      <c r="E205" s="90"/>
    </row>
    <row r="206" spans="5:5" hidden="1" x14ac:dyDescent="0.2">
      <c r="E206" s="90"/>
    </row>
    <row r="207" spans="5:5" hidden="1" x14ac:dyDescent="0.2">
      <c r="E207" s="90"/>
    </row>
    <row r="208" spans="5:5" hidden="1" x14ac:dyDescent="0.2">
      <c r="E208" s="90"/>
    </row>
    <row r="209" spans="5:5" hidden="1" x14ac:dyDescent="0.2">
      <c r="E209" s="90"/>
    </row>
    <row r="210" spans="5:5" hidden="1" x14ac:dyDescent="0.2">
      <c r="E210" s="90"/>
    </row>
    <row r="211" spans="5:5" hidden="1" x14ac:dyDescent="0.2">
      <c r="E211" s="90"/>
    </row>
    <row r="212" spans="5:5" hidden="1" x14ac:dyDescent="0.2">
      <c r="E212" s="90"/>
    </row>
    <row r="213" spans="5:5" hidden="1" x14ac:dyDescent="0.2">
      <c r="E213" s="90"/>
    </row>
    <row r="214" spans="5:5" hidden="1" x14ac:dyDescent="0.2">
      <c r="E214" s="90"/>
    </row>
    <row r="215" spans="5:5" hidden="1" x14ac:dyDescent="0.2">
      <c r="E215" s="90"/>
    </row>
    <row r="216" spans="5:5" hidden="1" x14ac:dyDescent="0.2">
      <c r="E216" s="90"/>
    </row>
    <row r="217" spans="5:5" hidden="1" x14ac:dyDescent="0.2">
      <c r="E217" s="90"/>
    </row>
    <row r="218" spans="5:5" hidden="1" x14ac:dyDescent="0.2">
      <c r="E218" s="90"/>
    </row>
    <row r="219" spans="5:5" hidden="1" x14ac:dyDescent="0.2">
      <c r="E219" s="90"/>
    </row>
    <row r="220" spans="5:5" hidden="1" x14ac:dyDescent="0.2">
      <c r="E220" s="90"/>
    </row>
    <row r="221" spans="5:5" hidden="1" x14ac:dyDescent="0.2">
      <c r="E221" s="90"/>
    </row>
    <row r="222" spans="5:5" hidden="1" x14ac:dyDescent="0.2">
      <c r="E222" s="90"/>
    </row>
    <row r="223" spans="5:5" hidden="1" x14ac:dyDescent="0.2">
      <c r="E223" s="90"/>
    </row>
    <row r="224" spans="5:5" hidden="1" x14ac:dyDescent="0.2">
      <c r="E224" s="90"/>
    </row>
    <row r="225" spans="5:5" hidden="1" x14ac:dyDescent="0.2">
      <c r="E225" s="90"/>
    </row>
    <row r="226" spans="5:5" hidden="1" x14ac:dyDescent="0.2">
      <c r="E226" s="90"/>
    </row>
    <row r="227" spans="5:5" hidden="1" x14ac:dyDescent="0.2">
      <c r="E227" s="90"/>
    </row>
    <row r="228" spans="5:5" hidden="1" x14ac:dyDescent="0.2">
      <c r="E228" s="90"/>
    </row>
    <row r="229" spans="5:5" hidden="1" x14ac:dyDescent="0.2">
      <c r="E229" s="90"/>
    </row>
    <row r="230" spans="5:5" hidden="1" x14ac:dyDescent="0.2">
      <c r="E230" s="90"/>
    </row>
    <row r="231" spans="5:5" hidden="1" x14ac:dyDescent="0.2">
      <c r="E231" s="90"/>
    </row>
    <row r="232" spans="5:5" hidden="1" x14ac:dyDescent="0.2">
      <c r="E232" s="90"/>
    </row>
    <row r="233" spans="5:5" hidden="1" x14ac:dyDescent="0.2">
      <c r="E233" s="90"/>
    </row>
    <row r="234" spans="5:5" hidden="1" x14ac:dyDescent="0.2">
      <c r="E234" s="90"/>
    </row>
    <row r="235" spans="5:5" hidden="1" x14ac:dyDescent="0.2">
      <c r="E235" s="90"/>
    </row>
    <row r="236" spans="5:5" hidden="1" x14ac:dyDescent="0.2">
      <c r="E236" s="90"/>
    </row>
    <row r="237" spans="5:5" hidden="1" x14ac:dyDescent="0.2">
      <c r="E237" s="90"/>
    </row>
    <row r="238" spans="5:5" hidden="1" x14ac:dyDescent="0.2">
      <c r="E238" s="90"/>
    </row>
    <row r="239" spans="5:5" hidden="1" x14ac:dyDescent="0.2">
      <c r="E239" s="90"/>
    </row>
    <row r="240" spans="5:5" hidden="1" x14ac:dyDescent="0.2">
      <c r="E240" s="90"/>
    </row>
    <row r="241" spans="5:5" hidden="1" x14ac:dyDescent="0.2">
      <c r="E241" s="90"/>
    </row>
    <row r="242" spans="5:5" hidden="1" x14ac:dyDescent="0.2">
      <c r="E242" s="90"/>
    </row>
    <row r="243" spans="5:5" hidden="1" x14ac:dyDescent="0.2">
      <c r="E243" s="90"/>
    </row>
    <row r="244" spans="5:5" hidden="1" x14ac:dyDescent="0.2">
      <c r="E244" s="90"/>
    </row>
    <row r="245" spans="5:5" hidden="1" x14ac:dyDescent="0.2">
      <c r="E245" s="90"/>
    </row>
    <row r="246" spans="5:5" hidden="1" x14ac:dyDescent="0.2">
      <c r="E246" s="90"/>
    </row>
    <row r="247" spans="5:5" hidden="1" x14ac:dyDescent="0.2">
      <c r="E247" s="90"/>
    </row>
    <row r="248" spans="5:5" hidden="1" x14ac:dyDescent="0.2">
      <c r="E248" s="90"/>
    </row>
    <row r="249" spans="5:5" hidden="1" x14ac:dyDescent="0.2">
      <c r="E249" s="90"/>
    </row>
    <row r="250" spans="5:5" hidden="1" x14ac:dyDescent="0.2">
      <c r="E250" s="90"/>
    </row>
    <row r="251" spans="5:5" hidden="1" x14ac:dyDescent="0.2">
      <c r="E251" s="90"/>
    </row>
    <row r="252" spans="5:5" hidden="1" x14ac:dyDescent="0.2">
      <c r="E252" s="90"/>
    </row>
    <row r="253" spans="5:5" hidden="1" x14ac:dyDescent="0.2">
      <c r="E253" s="90"/>
    </row>
    <row r="254" spans="5:5" hidden="1" x14ac:dyDescent="0.2">
      <c r="E254" s="90"/>
    </row>
    <row r="255" spans="5:5" hidden="1" x14ac:dyDescent="0.2">
      <c r="E255" s="90"/>
    </row>
    <row r="256" spans="5:5" hidden="1" x14ac:dyDescent="0.2">
      <c r="E256" s="90"/>
    </row>
    <row r="257" spans="5:5" hidden="1" x14ac:dyDescent="0.2">
      <c r="E257" s="90"/>
    </row>
    <row r="258" spans="5:5" hidden="1" x14ac:dyDescent="0.2">
      <c r="E258" s="90"/>
    </row>
    <row r="259" spans="5:5" hidden="1" x14ac:dyDescent="0.2">
      <c r="E259" s="90"/>
    </row>
    <row r="260" spans="5:5" hidden="1" x14ac:dyDescent="0.2">
      <c r="E260" s="90"/>
    </row>
    <row r="261" spans="5:5" hidden="1" x14ac:dyDescent="0.2">
      <c r="E261" s="90"/>
    </row>
    <row r="262" spans="5:5" hidden="1" x14ac:dyDescent="0.2">
      <c r="E262" s="90"/>
    </row>
    <row r="263" spans="5:5" hidden="1" x14ac:dyDescent="0.2">
      <c r="E263" s="90"/>
    </row>
    <row r="264" spans="5:5" hidden="1" x14ac:dyDescent="0.2">
      <c r="E264" s="90"/>
    </row>
    <row r="265" spans="5:5" hidden="1" x14ac:dyDescent="0.2">
      <c r="E265" s="90"/>
    </row>
    <row r="266" spans="5:5" hidden="1" x14ac:dyDescent="0.2">
      <c r="E266" s="90"/>
    </row>
    <row r="267" spans="5:5" hidden="1" x14ac:dyDescent="0.2">
      <c r="E267" s="90"/>
    </row>
    <row r="268" spans="5:5" hidden="1" x14ac:dyDescent="0.2">
      <c r="E268" s="90"/>
    </row>
    <row r="269" spans="5:5" hidden="1" x14ac:dyDescent="0.2">
      <c r="E269" s="90"/>
    </row>
    <row r="270" spans="5:5" hidden="1" x14ac:dyDescent="0.2">
      <c r="E270" s="90"/>
    </row>
    <row r="271" spans="5:5" hidden="1" x14ac:dyDescent="0.2">
      <c r="E271" s="90"/>
    </row>
    <row r="272" spans="5:5" hidden="1" x14ac:dyDescent="0.2">
      <c r="E272" s="90"/>
    </row>
    <row r="273" spans="5:5" hidden="1" x14ac:dyDescent="0.2">
      <c r="E273" s="90"/>
    </row>
    <row r="274" spans="5:5" hidden="1" x14ac:dyDescent="0.2">
      <c r="E274" s="90"/>
    </row>
    <row r="275" spans="5:5" hidden="1" x14ac:dyDescent="0.2">
      <c r="E275" s="90"/>
    </row>
    <row r="276" spans="5:5" hidden="1" x14ac:dyDescent="0.2">
      <c r="E276" s="90"/>
    </row>
    <row r="277" spans="5:5" hidden="1" x14ac:dyDescent="0.2">
      <c r="E277" s="90"/>
    </row>
    <row r="278" spans="5:5" hidden="1" x14ac:dyDescent="0.2">
      <c r="E278" s="90"/>
    </row>
    <row r="279" spans="5:5" hidden="1" x14ac:dyDescent="0.2">
      <c r="E279" s="90"/>
    </row>
    <row r="280" spans="5:5" hidden="1" x14ac:dyDescent="0.2">
      <c r="E280" s="90"/>
    </row>
    <row r="281" spans="5:5" hidden="1" x14ac:dyDescent="0.2">
      <c r="E281" s="90"/>
    </row>
    <row r="282" spans="5:5" hidden="1" x14ac:dyDescent="0.2">
      <c r="E282" s="90"/>
    </row>
    <row r="283" spans="5:5" hidden="1" x14ac:dyDescent="0.2">
      <c r="E283" s="90"/>
    </row>
    <row r="284" spans="5:5" hidden="1" x14ac:dyDescent="0.2">
      <c r="E284" s="90"/>
    </row>
    <row r="285" spans="5:5" hidden="1" x14ac:dyDescent="0.2">
      <c r="E285" s="90"/>
    </row>
    <row r="286" spans="5:5" hidden="1" x14ac:dyDescent="0.2">
      <c r="E286" s="90"/>
    </row>
    <row r="287" spans="5:5" hidden="1" x14ac:dyDescent="0.2">
      <c r="E287" s="90"/>
    </row>
    <row r="288" spans="5:5" hidden="1" x14ac:dyDescent="0.2">
      <c r="E288" s="90"/>
    </row>
    <row r="289" spans="5:5" hidden="1" x14ac:dyDescent="0.2">
      <c r="E289" s="90"/>
    </row>
    <row r="290" spans="5:5" hidden="1" x14ac:dyDescent="0.2">
      <c r="E290" s="90"/>
    </row>
    <row r="291" spans="5:5" hidden="1" x14ac:dyDescent="0.2">
      <c r="E291" s="90"/>
    </row>
    <row r="292" spans="5:5" hidden="1" x14ac:dyDescent="0.2">
      <c r="E292" s="90"/>
    </row>
    <row r="293" spans="5:5" hidden="1" x14ac:dyDescent="0.2">
      <c r="E293" s="90"/>
    </row>
    <row r="294" spans="5:5" hidden="1" x14ac:dyDescent="0.2">
      <c r="E294" s="90"/>
    </row>
    <row r="295" spans="5:5" hidden="1" x14ac:dyDescent="0.2">
      <c r="E295" s="90"/>
    </row>
    <row r="296" spans="5:5" hidden="1" x14ac:dyDescent="0.2">
      <c r="E296" s="90"/>
    </row>
    <row r="297" spans="5:5" hidden="1" x14ac:dyDescent="0.2">
      <c r="E297" s="90"/>
    </row>
    <row r="298" spans="5:5" hidden="1" x14ac:dyDescent="0.2">
      <c r="E298" s="90"/>
    </row>
    <row r="299" spans="5:5" hidden="1" x14ac:dyDescent="0.2">
      <c r="E299" s="90"/>
    </row>
    <row r="300" spans="5:5" hidden="1" x14ac:dyDescent="0.2">
      <c r="E300" s="90"/>
    </row>
    <row r="301" spans="5:5" hidden="1" x14ac:dyDescent="0.2">
      <c r="E301" s="90"/>
    </row>
    <row r="302" spans="5:5" hidden="1" x14ac:dyDescent="0.2">
      <c r="E302" s="90"/>
    </row>
    <row r="303" spans="5:5" hidden="1" x14ac:dyDescent="0.2">
      <c r="E303" s="90"/>
    </row>
    <row r="304" spans="5:5" hidden="1" x14ac:dyDescent="0.2">
      <c r="E304" s="90"/>
    </row>
    <row r="305" spans="5:5" hidden="1" x14ac:dyDescent="0.2">
      <c r="E305" s="90"/>
    </row>
    <row r="306" spans="5:5" hidden="1" x14ac:dyDescent="0.2">
      <c r="E306" s="90"/>
    </row>
    <row r="307" spans="5:5" hidden="1" x14ac:dyDescent="0.2">
      <c r="E307" s="90"/>
    </row>
    <row r="308" spans="5:5" hidden="1" x14ac:dyDescent="0.2">
      <c r="E308" s="90"/>
    </row>
    <row r="309" spans="5:5" hidden="1" x14ac:dyDescent="0.2">
      <c r="E309" s="90"/>
    </row>
    <row r="310" spans="5:5" hidden="1" x14ac:dyDescent="0.2">
      <c r="E310" s="90"/>
    </row>
    <row r="311" spans="5:5" hidden="1" x14ac:dyDescent="0.2">
      <c r="E311" s="90"/>
    </row>
    <row r="312" spans="5:5" hidden="1" x14ac:dyDescent="0.2">
      <c r="E312" s="90"/>
    </row>
    <row r="313" spans="5:5" hidden="1" x14ac:dyDescent="0.2">
      <c r="E313" s="90"/>
    </row>
    <row r="314" spans="5:5" hidden="1" x14ac:dyDescent="0.2">
      <c r="E314" s="90"/>
    </row>
    <row r="315" spans="5:5" hidden="1" x14ac:dyDescent="0.2">
      <c r="E315" s="90"/>
    </row>
    <row r="316" spans="5:5" hidden="1" x14ac:dyDescent="0.2">
      <c r="E316" s="90"/>
    </row>
    <row r="317" spans="5:5" hidden="1" x14ac:dyDescent="0.2">
      <c r="E317" s="90"/>
    </row>
    <row r="318" spans="5:5" hidden="1" x14ac:dyDescent="0.2">
      <c r="E318" s="90"/>
    </row>
    <row r="319" spans="5:5" hidden="1" x14ac:dyDescent="0.2">
      <c r="E319" s="90"/>
    </row>
    <row r="320" spans="5:5" hidden="1" x14ac:dyDescent="0.2">
      <c r="E320" s="90"/>
    </row>
    <row r="321" spans="5:5" hidden="1" x14ac:dyDescent="0.2">
      <c r="E321" s="90"/>
    </row>
    <row r="322" spans="5:5" hidden="1" x14ac:dyDescent="0.2">
      <c r="E322" s="90"/>
    </row>
    <row r="323" spans="5:5" hidden="1" x14ac:dyDescent="0.2">
      <c r="E323" s="90"/>
    </row>
    <row r="324" spans="5:5" hidden="1" x14ac:dyDescent="0.2">
      <c r="E324" s="90"/>
    </row>
    <row r="325" spans="5:5" hidden="1" x14ac:dyDescent="0.2">
      <c r="E325" s="90"/>
    </row>
    <row r="326" spans="5:5" hidden="1" x14ac:dyDescent="0.2">
      <c r="E326" s="90"/>
    </row>
    <row r="327" spans="5:5" hidden="1" x14ac:dyDescent="0.2">
      <c r="E327" s="90"/>
    </row>
    <row r="328" spans="5:5" hidden="1" x14ac:dyDescent="0.2">
      <c r="E328" s="90"/>
    </row>
    <row r="329" spans="5:5" hidden="1" x14ac:dyDescent="0.2">
      <c r="E329" s="90"/>
    </row>
    <row r="330" spans="5:5" hidden="1" x14ac:dyDescent="0.2">
      <c r="E330" s="90"/>
    </row>
    <row r="331" spans="5:5" hidden="1" x14ac:dyDescent="0.2">
      <c r="E331" s="90"/>
    </row>
    <row r="332" spans="5:5" hidden="1" x14ac:dyDescent="0.2">
      <c r="E332" s="90"/>
    </row>
    <row r="333" spans="5:5" hidden="1" x14ac:dyDescent="0.2">
      <c r="E333" s="90"/>
    </row>
    <row r="334" spans="5:5" hidden="1" x14ac:dyDescent="0.2">
      <c r="E334" s="90"/>
    </row>
    <row r="335" spans="5:5" hidden="1" x14ac:dyDescent="0.2">
      <c r="E335" s="90"/>
    </row>
    <row r="336" spans="5:5" hidden="1" x14ac:dyDescent="0.2">
      <c r="E336" s="90"/>
    </row>
    <row r="337" spans="5:5" hidden="1" x14ac:dyDescent="0.2">
      <c r="E337" s="90"/>
    </row>
    <row r="338" spans="5:5" hidden="1" x14ac:dyDescent="0.2">
      <c r="E338" s="90"/>
    </row>
    <row r="339" spans="5:5" hidden="1" x14ac:dyDescent="0.2">
      <c r="E339" s="90"/>
    </row>
    <row r="340" spans="5:5" hidden="1" x14ac:dyDescent="0.2">
      <c r="E340" s="90"/>
    </row>
    <row r="341" spans="5:5" hidden="1" x14ac:dyDescent="0.2">
      <c r="E341" s="90"/>
    </row>
    <row r="342" spans="5:5" hidden="1" x14ac:dyDescent="0.2">
      <c r="E342" s="90"/>
    </row>
    <row r="343" spans="5:5" hidden="1" x14ac:dyDescent="0.2">
      <c r="E343" s="90"/>
    </row>
    <row r="344" spans="5:5" hidden="1" x14ac:dyDescent="0.2">
      <c r="E344" s="90"/>
    </row>
    <row r="345" spans="5:5" hidden="1" x14ac:dyDescent="0.2">
      <c r="E345" s="90"/>
    </row>
    <row r="346" spans="5:5" hidden="1" x14ac:dyDescent="0.2">
      <c r="E346" s="90"/>
    </row>
    <row r="347" spans="5:5" hidden="1" x14ac:dyDescent="0.2">
      <c r="E347" s="90"/>
    </row>
    <row r="348" spans="5:5" hidden="1" x14ac:dyDescent="0.2">
      <c r="E348" s="90"/>
    </row>
    <row r="349" spans="5:5" hidden="1" x14ac:dyDescent="0.2">
      <c r="E349" s="90"/>
    </row>
    <row r="350" spans="5:5" hidden="1" x14ac:dyDescent="0.2">
      <c r="E350" s="90"/>
    </row>
    <row r="351" spans="5:5" hidden="1" x14ac:dyDescent="0.2">
      <c r="E351" s="90"/>
    </row>
    <row r="352" spans="5:5" hidden="1" x14ac:dyDescent="0.2">
      <c r="E352" s="90"/>
    </row>
    <row r="353" spans="5:5" hidden="1" x14ac:dyDescent="0.2">
      <c r="E353" s="90"/>
    </row>
    <row r="354" spans="5:5" hidden="1" x14ac:dyDescent="0.2">
      <c r="E354" s="90"/>
    </row>
    <row r="355" spans="5:5" hidden="1" x14ac:dyDescent="0.2">
      <c r="E355" s="90"/>
    </row>
    <row r="356" spans="5:5" x14ac:dyDescent="0.2">
      <c r="E356" s="90"/>
    </row>
  </sheetData>
  <mergeCells count="91">
    <mergeCell ref="C84:C85"/>
    <mergeCell ref="C58:C59"/>
    <mergeCell ref="C60:C61"/>
    <mergeCell ref="C32:C33"/>
    <mergeCell ref="C34:C35"/>
    <mergeCell ref="X124:AA124"/>
    <mergeCell ref="C112:C113"/>
    <mergeCell ref="C118:C119"/>
    <mergeCell ref="C116:C117"/>
    <mergeCell ref="C88:C89"/>
    <mergeCell ref="C110:C111"/>
    <mergeCell ref="X2:AA2"/>
    <mergeCell ref="X3:AA3"/>
    <mergeCell ref="X4:AA4"/>
    <mergeCell ref="X5:AA5"/>
    <mergeCell ref="X7:AA7"/>
    <mergeCell ref="J124:M124"/>
    <mergeCell ref="N124:Q124"/>
    <mergeCell ref="C10:C11"/>
    <mergeCell ref="C48:C49"/>
    <mergeCell ref="C14:C15"/>
    <mergeCell ref="C82:C83"/>
    <mergeCell ref="C80:C81"/>
    <mergeCell ref="C92:C93"/>
    <mergeCell ref="C94:C95"/>
    <mergeCell ref="C96:C97"/>
    <mergeCell ref="C98:C99"/>
    <mergeCell ref="C100:C101"/>
    <mergeCell ref="C104:C105"/>
    <mergeCell ref="C106:C107"/>
    <mergeCell ref="C20:C21"/>
    <mergeCell ref="C22:C23"/>
    <mergeCell ref="C36:C37"/>
    <mergeCell ref="C40:C41"/>
    <mergeCell ref="C42:C43"/>
    <mergeCell ref="C44:C45"/>
    <mergeCell ref="C46:C47"/>
    <mergeCell ref="C121:C122"/>
    <mergeCell ref="C72:C73"/>
    <mergeCell ref="C74:C75"/>
    <mergeCell ref="C108:C109"/>
    <mergeCell ref="C50:C51"/>
    <mergeCell ref="C76:C77"/>
    <mergeCell ref="C66:C67"/>
    <mergeCell ref="C52:C53"/>
    <mergeCell ref="C54:C55"/>
    <mergeCell ref="C56:C57"/>
    <mergeCell ref="C78:C79"/>
    <mergeCell ref="C102:C103"/>
    <mergeCell ref="C68:C69"/>
    <mergeCell ref="C70:C71"/>
    <mergeCell ref="C62:C63"/>
    <mergeCell ref="C86:C87"/>
    <mergeCell ref="AC126:AE126"/>
    <mergeCell ref="F2:I2"/>
    <mergeCell ref="J2:M2"/>
    <mergeCell ref="N2:Q2"/>
    <mergeCell ref="R2:U2"/>
    <mergeCell ref="R4:U4"/>
    <mergeCell ref="F124:I124"/>
    <mergeCell ref="R124:U124"/>
    <mergeCell ref="F4:I4"/>
    <mergeCell ref="J4:M4"/>
    <mergeCell ref="N4:Q4"/>
    <mergeCell ref="AE123:AF123"/>
    <mergeCell ref="N3:Q3"/>
    <mergeCell ref="R3:U3"/>
    <mergeCell ref="F3:I3"/>
    <mergeCell ref="J3:M3"/>
    <mergeCell ref="C12:C13"/>
    <mergeCell ref="C16:C17"/>
    <mergeCell ref="C18:C19"/>
    <mergeCell ref="F5:I5"/>
    <mergeCell ref="AB123:AD123"/>
    <mergeCell ref="AB121:AD121"/>
    <mergeCell ref="AB120:AD120"/>
    <mergeCell ref="D7:E7"/>
    <mergeCell ref="C5:E5"/>
    <mergeCell ref="J5:M5"/>
    <mergeCell ref="N5:Q5"/>
    <mergeCell ref="R5:U5"/>
    <mergeCell ref="C24:C25"/>
    <mergeCell ref="C26:C27"/>
    <mergeCell ref="C30:C31"/>
    <mergeCell ref="C28:C29"/>
    <mergeCell ref="C1:U1"/>
    <mergeCell ref="F7:I7"/>
    <mergeCell ref="J7:M7"/>
    <mergeCell ref="N7:Q7"/>
    <mergeCell ref="R7:U7"/>
    <mergeCell ref="C4:E4"/>
  </mergeCells>
  <conditionalFormatting sqref="AC126">
    <cfRule type="expression" dxfId="1" priority="1">
      <formula>$AE$123&gt;0</formula>
    </cfRule>
    <cfRule type="expression" dxfId="0" priority="8">
      <formula>$AE$123&lt;0</formula>
    </cfRule>
  </conditionalFormatting>
  <printOptions horizontalCentered="1"/>
  <pageMargins left="0.51181102362204722" right="0.51181102362204722" top="0.74803149606299213" bottom="0.15748031496062992" header="0.31496062992125984" footer="0.31496062992125984"/>
  <pageSetup paperSize="8" scale="25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baseColWidth="10" defaultColWidth="11.42578125" defaultRowHeight="12.75" x14ac:dyDescent="0.2"/>
  <sheetData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ColWidth="11.42578125" defaultRowHeight="12.75" x14ac:dyDescent="0.2"/>
  <sheetData/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E5A48FD3BA4E14E958E647989654BD4" ma:contentTypeVersion="9" ma:contentTypeDescription="Ein neues Dokument erstellen." ma:contentTypeScope="" ma:versionID="797cb91559704ba2860676153fa7a0b2">
  <xsd:schema xmlns:xsd="http://www.w3.org/2001/XMLSchema" xmlns:xs="http://www.w3.org/2001/XMLSchema" xmlns:p="http://schemas.microsoft.com/office/2006/metadata/properties" xmlns:ns3="876c6a2a-3d54-4bb8-8953-a6372ee5a6fa" targetNamespace="http://schemas.microsoft.com/office/2006/metadata/properties" ma:root="true" ma:fieldsID="268d181d66d1a73218653db6d48d6d7e" ns3:_="">
    <xsd:import namespace="876c6a2a-3d54-4bb8-8953-a6372ee5a6fa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6c6a2a-3d54-4bb8-8953-a6372ee5a6fa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76c6a2a-3d54-4bb8-8953-a6372ee5a6fa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B93ED66-2752-4DFA-B102-E4101CF8F8A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76c6a2a-3d54-4bb8-8953-a6372ee5a6f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B274801-13DF-4427-B402-2D080C779060}">
  <ds:schemaRefs>
    <ds:schemaRef ds:uri="http://schemas.microsoft.com/office/2006/metadata/properties"/>
    <ds:schemaRef ds:uri="http://schemas.microsoft.com/office/infopath/2007/PartnerControls"/>
    <ds:schemaRef ds:uri="876c6a2a-3d54-4bb8-8953-a6372ee5a6fa"/>
  </ds:schemaRefs>
</ds:datastoreItem>
</file>

<file path=customXml/itemProps3.xml><?xml version="1.0" encoding="utf-8"?>
<ds:datastoreItem xmlns:ds="http://schemas.openxmlformats.org/officeDocument/2006/customXml" ds:itemID="{D70B1C85-06A4-4402-967D-2C9EECE4E45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1</vt:i4>
      </vt:variant>
    </vt:vector>
  </HeadingPairs>
  <TitlesOfParts>
    <vt:vector size="4" baseType="lpstr">
      <vt:lpstr>Tabelle1</vt:lpstr>
      <vt:lpstr>Tabelle2</vt:lpstr>
      <vt:lpstr>Tabelle3</vt:lpstr>
      <vt:lpstr>A_r_b_e_i_t_s_______P_l_a_n_u_n_g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 Bruno</dc:creator>
  <cp:keywords/>
  <dc:description/>
  <cp:lastModifiedBy>Marc Greub</cp:lastModifiedBy>
  <cp:revision/>
  <dcterms:created xsi:type="dcterms:W3CDTF">2011-11-30T18:59:22Z</dcterms:created>
  <dcterms:modified xsi:type="dcterms:W3CDTF">2026-03-19T20:26:47Z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0x010100DE5A48FD3BA4E14E958E647989654BD4</vt:lpwstr>
  </property>
</Properties>
</file>